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bhan\Desktop\PHD HAN dossier\210926\"/>
    </mc:Choice>
  </mc:AlternateContent>
  <xr:revisionPtr revIDLastSave="0" documentId="13_ncr:1_{402E4C44-6AF8-495B-8574-F90D71B6D9EE}" xr6:coauthVersionLast="47" xr6:coauthVersionMax="47" xr10:uidLastSave="{00000000-0000-0000-0000-000000000000}"/>
  <bookViews>
    <workbookView xWindow="-110" yWindow="-110" windowWidth="19420" windowHeight="10300" activeTab="1" xr2:uid="{00000000-000D-0000-FFFF-FFFF00000000}"/>
  </bookViews>
  <sheets>
    <sheet name="factory_info" sheetId="1" r:id="rId1"/>
    <sheet name="vehicle_info" sheetId="2" r:id="rId2"/>
    <sheet name="route_info" sheetId="3" r:id="rId3"/>
    <sheet name="order_info" sheetId="4" r:id="rId4"/>
    <sheet name="glossary of terms" sheetId="6" r:id="rId5"/>
    <sheet name="SWRL rules" sheetId="7" r:id="rId6"/>
    <sheet name="human_inference" sheetId="5" r:id="rId7"/>
  </sheets>
  <definedNames>
    <definedName name="_xlnm._FilterDatabase" localSheetId="3" hidden="1">order_info!$A$1:$L$32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5" l="1"/>
</calcChain>
</file>

<file path=xl/sharedStrings.xml><?xml version="1.0" encoding="utf-8"?>
<sst xmlns="http://schemas.openxmlformats.org/spreadsheetml/2006/main" count="895" uniqueCount="538">
  <si>
    <t>factory_id</t>
  </si>
  <si>
    <t>depot</t>
  </si>
  <si>
    <t>hasWorkshift</t>
  </si>
  <si>
    <t>hasNumberOfCargoDock</t>
  </si>
  <si>
    <t>RoundTheClockWorkshift</t>
  </si>
  <si>
    <t>FreshProduce</t>
  </si>
  <si>
    <t>FrozenFood</t>
  </si>
  <si>
    <t>GeneralCargo</t>
  </si>
  <si>
    <t>HazardousMaterial</t>
  </si>
  <si>
    <t>HighValueGoods</t>
  </si>
  <si>
    <t>StandardWorkshift</t>
  </si>
  <si>
    <t>ExtendWorkshift</t>
  </si>
  <si>
    <t>vehicle_id</t>
  </si>
  <si>
    <t>hasLoadingCapacity(kg)</t>
  </si>
  <si>
    <t>hasNumberOfFuelConsumption(L/km)</t>
  </si>
  <si>
    <t>0.25</t>
  </si>
  <si>
    <t>hasProductAdaptivity</t>
  </si>
  <si>
    <t>NormalDelivery</t>
  </si>
  <si>
    <t>HighSecurityDelivery</t>
  </si>
  <si>
    <t>ColdChain</t>
  </si>
  <si>
    <t>Depot</t>
  </si>
  <si>
    <t>adaptToProductType</t>
  </si>
  <si>
    <t>WasteCollection</t>
  </si>
  <si>
    <t>scaled supermarket supplier</t>
  </si>
  <si>
    <t>reprocessing supplier</t>
  </si>
  <si>
    <t>route_id</t>
  </si>
  <si>
    <t>hasStartNodeAt</t>
  </si>
  <si>
    <t>hasEndNodeAt</t>
  </si>
  <si>
    <t>hasTimeRestrict</t>
  </si>
  <si>
    <t>hasRoadQuality</t>
  </si>
  <si>
    <t>hasTravelingTime(min)</t>
  </si>
  <si>
    <t>hasTravelingDistance(km)</t>
  </si>
  <si>
    <t>NoRestrict</t>
  </si>
  <si>
    <t>MediumQualityRoads</t>
  </si>
  <si>
    <t>HighQualityRoads</t>
  </si>
  <si>
    <t>(notes)</t>
  </si>
  <si>
    <t>highspeed</t>
  </si>
  <si>
    <t>RushHourRestrict</t>
  </si>
  <si>
    <t>national way</t>
  </si>
  <si>
    <t>soft rush hour traffic jam</t>
  </si>
  <si>
    <t>NoiseControlRestrict</t>
  </si>
  <si>
    <t>VeryPoorRoads are not suitable for HighValueGoods</t>
  </si>
  <si>
    <t xml:space="preserve">this route is for higher-level processing of </t>
  </si>
  <si>
    <t>order_id</t>
  </si>
  <si>
    <t>hasPickupFactory</t>
  </si>
  <si>
    <t>hasDeliveryFactory</t>
  </si>
  <si>
    <t>hasCreationTime</t>
  </si>
  <si>
    <t>hasCommittedDeliveryTime</t>
  </si>
  <si>
    <t>hasOrderProductType</t>
  </si>
  <si>
    <t>hasScaleOfCargo(kg)</t>
  </si>
  <si>
    <t>11h10min</t>
  </si>
  <si>
    <t>(origin model in real)</t>
  </si>
  <si>
    <t>11h00min</t>
  </si>
  <si>
    <t>10h45min</t>
  </si>
  <si>
    <t>12h52min</t>
  </si>
  <si>
    <t>supermarkets</t>
  </si>
  <si>
    <t>10h23min</t>
  </si>
  <si>
    <t>14h23min</t>
  </si>
  <si>
    <t>hasUnloadingTime(min)</t>
  </si>
  <si>
    <t>hasLoadingTime(min)</t>
  </si>
  <si>
    <t>rdfs:comment "basic calculation idea: loading/unloading_min = overhead_min + t_per_pallet_min * num_pallets</t>
  </si>
  <si>
    <t>a pallet is 700-900kg</t>
  </si>
  <si>
    <t xml:space="preserve">for general cargo, freshproduce cargo, the loading time is 3+4min per pallet, the unloading time is 3+6min per pallet. </t>
  </si>
  <si>
    <t>for coldchain cargo, the loading time is 3+6min per pallet, the unloading time is 3+8min per pallet.</t>
  </si>
  <si>
    <t>for highsecurity cargo, the loading time is 5+4min per pallet, the unloading time is 5+6min per pallet.</t>
  </si>
  <si>
    <t>luxury markets, fashion stores, car-free street trade ensemble</t>
  </si>
  <si>
    <t>11h21min</t>
  </si>
  <si>
    <t>13h21min</t>
  </si>
  <si>
    <t>11h44min</t>
  </si>
  <si>
    <t>14h44min</t>
  </si>
  <si>
    <t>scaled freshproduce processing</t>
  </si>
  <si>
    <t>local market, grocery stores ensemble</t>
  </si>
  <si>
    <t>recycle site</t>
  </si>
  <si>
    <t>10h57min</t>
  </si>
  <si>
    <t>12h57min</t>
  </si>
  <si>
    <t>12h30min</t>
  </si>
  <si>
    <t>16h30min</t>
  </si>
  <si>
    <t>14h04min</t>
  </si>
  <si>
    <t>17h04min</t>
  </si>
  <si>
    <t>ScaleOfCargo hasNumberOfPallets</t>
  </si>
  <si>
    <t>06h13min</t>
  </si>
  <si>
    <t>06h36min</t>
  </si>
  <si>
    <t>09h00min</t>
  </si>
  <si>
    <t>08h10min</t>
  </si>
  <si>
    <t>08h45min</t>
  </si>
  <si>
    <t>06h00min</t>
  </si>
  <si>
    <t>07h48min</t>
  </si>
  <si>
    <t>09h52min</t>
  </si>
  <si>
    <t>06h52min</t>
  </si>
  <si>
    <t>05h30min</t>
  </si>
  <si>
    <t>07h30min</t>
  </si>
  <si>
    <t>08h52min</t>
  </si>
  <si>
    <t>09h55min</t>
  </si>
  <si>
    <t>09h48min</t>
  </si>
  <si>
    <t>09h45min</t>
  </si>
  <si>
    <t>09h36min</t>
  </si>
  <si>
    <t>19h35min</t>
  </si>
  <si>
    <t>15h35min</t>
  </si>
  <si>
    <t>17h02min</t>
  </si>
  <si>
    <t>20h02min</t>
  </si>
  <si>
    <t>07h34min</t>
  </si>
  <si>
    <t>10h34min</t>
  </si>
  <si>
    <t>21h45min</t>
  </si>
  <si>
    <t>00h45min</t>
  </si>
  <si>
    <t>01h30min</t>
  </si>
  <si>
    <t>15h00min</t>
  </si>
  <si>
    <t>17h00min</t>
  </si>
  <si>
    <t>21h47min</t>
  </si>
  <si>
    <t>00h47min</t>
  </si>
  <si>
    <t>13h13min</t>
  </si>
  <si>
    <t>14h13min</t>
  </si>
  <si>
    <t>18h36min</t>
  </si>
  <si>
    <t>19h36min</t>
  </si>
  <si>
    <t>isBidirectionalRoute</t>
  </si>
  <si>
    <t>simulation time</t>
  </si>
  <si>
    <t>industrial and algriculture distribution center</t>
  </si>
  <si>
    <t>vehicle state:1</t>
  </si>
  <si>
    <t>loading 0</t>
  </si>
  <si>
    <t>route 14</t>
  </si>
  <si>
    <t>loading 8</t>
  </si>
  <si>
    <t>unloading 0 (arrive depot 0 at 3:39)</t>
  </si>
  <si>
    <t xml:space="preserve">route 14 </t>
  </si>
  <si>
    <t>loading 8 (arrive at factory 8 on 1:53)</t>
  </si>
  <si>
    <t>route 14 (leave factory 8 at 3:16)</t>
  </si>
  <si>
    <t>unloading 0</t>
  </si>
  <si>
    <t>unloading 2</t>
  </si>
  <si>
    <t>unloading 4</t>
  </si>
  <si>
    <t>unloading 5</t>
  </si>
  <si>
    <t>unloading 6</t>
  </si>
  <si>
    <t xml:space="preserve">loading 0 </t>
  </si>
  <si>
    <t>2,3 cold chain</t>
  </si>
  <si>
    <t>route 3 (leave depot 0 at 6:03)</t>
  </si>
  <si>
    <t>route 3</t>
  </si>
  <si>
    <t xml:space="preserve">unloading 2 </t>
  </si>
  <si>
    <t>6 cold chain</t>
  </si>
  <si>
    <t>receive order 1, start dealing order 1</t>
  </si>
  <si>
    <t>receive order 2, order 3; start dealing order 2, order 3</t>
  </si>
  <si>
    <t>06h25min</t>
  </si>
  <si>
    <t>09h25min</t>
  </si>
  <si>
    <t>unloading 2 (arrive factory 2 at 6:25) receive order 6</t>
  </si>
  <si>
    <t>finish unloading at 5:42, waiting at 0</t>
  </si>
  <si>
    <t>loading 2 (finish unloading at 7:08, start dealing order 6)</t>
  </si>
  <si>
    <t>loading 2</t>
  </si>
  <si>
    <t>recieve order</t>
  </si>
  <si>
    <t>4.2</t>
  </si>
  <si>
    <t>15.8</t>
  </si>
  <si>
    <t>8.1</t>
  </si>
  <si>
    <t>20.3</t>
  </si>
  <si>
    <t>13.4</t>
  </si>
  <si>
    <t>17.9</t>
  </si>
  <si>
    <t>19.1</t>
  </si>
  <si>
    <t>13.3</t>
  </si>
  <si>
    <t>18.0</t>
  </si>
  <si>
    <t>15.9</t>
  </si>
  <si>
    <t>20.0</t>
  </si>
  <si>
    <t>13.2</t>
  </si>
  <si>
    <t>19.3</t>
  </si>
  <si>
    <t>17.8</t>
  </si>
  <si>
    <t>7.4</t>
  </si>
  <si>
    <t>8.0</t>
  </si>
  <si>
    <t>25.1</t>
  </si>
  <si>
    <t>17.7</t>
  </si>
  <si>
    <t>7.6</t>
  </si>
  <si>
    <t>6.1</t>
  </si>
  <si>
    <t>9.4</t>
  </si>
  <si>
    <t>10.0</t>
  </si>
  <si>
    <t>13.7</t>
  </si>
  <si>
    <t>16.3</t>
  </si>
  <si>
    <t>13.1</t>
  </si>
  <si>
    <t>15.2</t>
  </si>
  <si>
    <t>16.9</t>
  </si>
  <si>
    <t>6.9</t>
  </si>
  <si>
    <t>11.2</t>
  </si>
  <si>
    <t>6.4</t>
  </si>
  <si>
    <t>6.8</t>
  </si>
  <si>
    <t>7.0</t>
  </si>
  <si>
    <t>10.3</t>
  </si>
  <si>
    <t>10.4</t>
  </si>
  <si>
    <t>9.5</t>
  </si>
  <si>
    <t>10.1</t>
  </si>
  <si>
    <t>5.3</t>
  </si>
  <si>
    <t>route 19</t>
  </si>
  <si>
    <t xml:space="preserve">unloading 5 (arrive at factory 5 at 7:49) </t>
  </si>
  <si>
    <t>12h55min</t>
  </si>
  <si>
    <t>route 8 (finish unloading at 8:08), available route 8 9, rush hour restriction, select route 8</t>
  </si>
  <si>
    <t>wait at depot 0 (arrive at depot 0 at 8:45)</t>
  </si>
  <si>
    <t>route 8</t>
  </si>
  <si>
    <t>route 19 (finish loading 2 at 7:23) available route 19 20, acoording to the calculation, select route 19</t>
  </si>
  <si>
    <t>4 cold chain</t>
  </si>
  <si>
    <t>receive order 4, starting dealing order 4</t>
  </si>
  <si>
    <t>06h30min</t>
  </si>
  <si>
    <t>route 6, finish loading at 7:09, estimate unloading time 91min, if route 6, the estimate finish time is 8:52, if route 7, the estimate finish time is 9:02. We select route 6</t>
  </si>
  <si>
    <t>route 6</t>
  </si>
  <si>
    <t>unloading 4 arrive at factory 4 at 7:34</t>
  </si>
  <si>
    <t>route7 (finish unloading at 8:52), select route 7 instead of route 6, for sustainability</t>
  </si>
  <si>
    <t>wait at 0 (arrive at 9:27)</t>
  </si>
  <si>
    <t>route7</t>
  </si>
  <si>
    <t>1 NormalDelivery</t>
  </si>
  <si>
    <t xml:space="preserve">5 NormalDelivery </t>
  </si>
  <si>
    <t>recieve order 5, start dealing order 5</t>
  </si>
  <si>
    <t>09h13min</t>
  </si>
  <si>
    <t xml:space="preserve">route 11(finish loading at 6:39), available route 10 and 11, route 10 is restricted by the rush hour restrict </t>
  </si>
  <si>
    <t>route 11</t>
  </si>
  <si>
    <t>arrive at 7:20, unloading 6</t>
  </si>
  <si>
    <t>route 11 (finish unloading 7:47)</t>
  </si>
  <si>
    <t>wait at 0, arrive at 8:28</t>
  </si>
  <si>
    <t>7 8 order</t>
  </si>
  <si>
    <t>Origin (Example)</t>
  </si>
  <si>
    <t>...</t>
  </si>
  <si>
    <t>Electronics Warehouse</t>
  </si>
  <si>
    <t>Local Distribution Hub</t>
  </si>
  <si>
    <t>Specialty Goods Outlet</t>
  </si>
  <si>
    <t>0.10</t>
  </si>
  <si>
    <t>0.12</t>
  </si>
  <si>
    <t>0.20</t>
  </si>
  <si>
    <t>0.30</t>
  </si>
  <si>
    <t>the logic:</t>
  </si>
  <si>
    <t xml:space="preserve">if the </t>
  </si>
  <si>
    <t>CurrentOrder</t>
  </si>
  <si>
    <t>CurrentState</t>
  </si>
  <si>
    <t>waiting</t>
  </si>
  <si>
    <t>then next state</t>
  </si>
  <si>
    <t>finding a route</t>
  </si>
  <si>
    <t>19.5</t>
  </si>
  <si>
    <t>for wastecollection cargo, the loading time is 3+3min per pallet, the unloading time is 3+3min per pallet.</t>
  </si>
  <si>
    <t>24.1</t>
  </si>
  <si>
    <t>definition</t>
  </si>
  <si>
    <t>code variable</t>
  </si>
  <si>
    <t>classes hierachy</t>
  </si>
  <si>
    <t>hasLoadingCapacity</t>
  </si>
  <si>
    <t>self.id_to_vehicle['hasLoadingCapacity(kg)']</t>
  </si>
  <si>
    <t>hasVehicleID</t>
  </si>
  <si>
    <t>self.id_to_vehicle['vehicle_id']</t>
  </si>
  <si>
    <t>Normalization / Range</t>
  </si>
  <si>
    <t xml:space="preserve">1, 2, … type. int </t>
  </si>
  <si>
    <t>MaximumDistanceUntilCharge</t>
  </si>
  <si>
    <t>FuelConsumption</t>
  </si>
  <si>
    <t>self.id_to_vehicle['hasNumberOfFuelConsumption(L/km)']</t>
  </si>
  <si>
    <t xml:space="preserve">The id of vehicles. A unique integer number. </t>
  </si>
  <si>
    <t>self.id_to_vehicle['LoadingWeight']</t>
  </si>
  <si>
    <t>Things</t>
  </si>
  <si>
    <t>VehicleAttribute</t>
  </si>
  <si>
    <t>LogisticsEntity</t>
  </si>
  <si>
    <t>Vehicle</t>
  </si>
  <si>
    <t>self.id_to_vehicle</t>
  </si>
  <si>
    <t>A vehicle entity</t>
  </si>
  <si>
    <t>type. pd.DataFrame</t>
  </si>
  <si>
    <t>Order</t>
  </si>
  <si>
    <t>self.id_to_order</t>
  </si>
  <si>
    <t>An order entity</t>
  </si>
  <si>
    <t>Route</t>
  </si>
  <si>
    <t>self.id_to_route</t>
  </si>
  <si>
    <t>A route entity</t>
  </si>
  <si>
    <t>Factory</t>
  </si>
  <si>
    <t>self.id_to_factory</t>
  </si>
  <si>
    <t>A factory entity (include the depot as 0)</t>
  </si>
  <si>
    <t>OrderAttribute</t>
  </si>
  <si>
    <t>OrderID</t>
  </si>
  <si>
    <t>self.id_to_order['order_id']</t>
  </si>
  <si>
    <t xml:space="preserve">The id of orders. A unique integer number. </t>
  </si>
  <si>
    <t>ExplanationTypes</t>
  </si>
  <si>
    <t>EconomicReason</t>
  </si>
  <si>
    <t>TemporalConcern</t>
  </si>
  <si>
    <t>PhysicalConstraint</t>
  </si>
  <si>
    <t>owl:topObjectProperty</t>
  </si>
  <si>
    <t>hasVehicleProperty</t>
  </si>
  <si>
    <t>property hierachy</t>
  </si>
  <si>
    <t xml:space="preserve">domains </t>
  </si>
  <si>
    <t>ranges</t>
  </si>
  <si>
    <t>description</t>
  </si>
  <si>
    <t>business rules</t>
  </si>
  <si>
    <t>feasibility rules (mask, hard constrains)</t>
  </si>
  <si>
    <t>OverweightReason</t>
  </si>
  <si>
    <t>hasExplanationTypes</t>
  </si>
  <si>
    <t>hasRejectionReason</t>
  </si>
  <si>
    <t>SWRL</t>
  </si>
  <si>
    <t>OverweightConstraint</t>
  </si>
  <si>
    <t>VOPair</t>
  </si>
  <si>
    <t>An artificially created entity to represent the allocation</t>
  </si>
  <si>
    <t>hasCurrentWeight</t>
  </si>
  <si>
    <t>TypeMatchReason</t>
  </si>
  <si>
    <t>PickupFactory</t>
  </si>
  <si>
    <t>ProductAdaptivity</t>
  </si>
  <si>
    <t>self.id_to_vehicle['hasProductAdaptivity']</t>
  </si>
  <si>
    <t>The carrying type of the vehicle.</t>
  </si>
  <si>
    <t>OrderProductType</t>
  </si>
  <si>
    <t>self.id_to_order['hasOrderProductType']</t>
  </si>
  <si>
    <t>The product type of the order.</t>
  </si>
  <si>
    <t>hasOrderProperty</t>
  </si>
  <si>
    <t>hasScaleOfCargo</t>
  </si>
  <si>
    <t>self.id_to_order['hasScaleOfCargo(kg)']</t>
  </si>
  <si>
    <t>hasPairedVehicle</t>
  </si>
  <si>
    <t>which kind of product can the vehicle carry</t>
  </si>
  <si>
    <t>how much this order weights</t>
  </si>
  <si>
    <t>which kind of product the order belongs to</t>
  </si>
  <si>
    <t xml:space="preserve">TypeMatchConstraint </t>
  </si>
  <si>
    <t>hasAuxilliaryProperty</t>
  </si>
  <si>
    <t>isIncompatibleMatched</t>
  </si>
  <si>
    <t xml:space="preserve">the negative boolean compatibility. (due to the open world assumption, we cannot to judge a circumstance where there is not a compatible matching as a rejection) </t>
  </si>
  <si>
    <t>if a vo pair has rejection reason, it will never be selected</t>
  </si>
  <si>
    <t>hasFuelConsumptionScore</t>
  </si>
  <si>
    <t>xsd:float</t>
  </si>
  <si>
    <t>type</t>
  </si>
  <si>
    <t>FuelExpenseReason</t>
  </si>
  <si>
    <t>owl:topDataProperty</t>
  </si>
  <si>
    <t>hasExplanationScore</t>
  </si>
  <si>
    <t>Instances</t>
  </si>
  <si>
    <t>DataProperty Hierarchy</t>
  </si>
  <si>
    <t>domain</t>
  </si>
  <si>
    <t>range</t>
  </si>
  <si>
    <t xml:space="preserve">code </t>
  </si>
  <si>
    <t>example</t>
  </si>
  <si>
    <t>hasNumberOfFuelConsumption</t>
  </si>
  <si>
    <t>how much fuel does the vehicle consume for a unit distance(L/km)</t>
  </si>
  <si>
    <t>hasPickupDistance</t>
  </si>
  <si>
    <t>self.pickup_rou_record_for_reward.iloc[:,0]</t>
  </si>
  <si>
    <t>how much distance from the next node stop to the pick-up factory of the object order, unit km. 
This differs for each vehicle</t>
  </si>
  <si>
    <t>hasDeliveryDistance</t>
  </si>
  <si>
    <t>self.delivery_rou_record_for_reward['hasTravelingDistance(km)']</t>
  </si>
  <si>
    <t>SystemConfig</t>
  </si>
  <si>
    <t xml:space="preserve">WEIGHT_FUEL = 8.0 … </t>
  </si>
  <si>
    <t>The constants recorded the global settings</t>
  </si>
  <si>
    <t>GlobalSettings</t>
  </si>
  <si>
    <t>hasConstantSetting</t>
  </si>
  <si>
    <t>hasDistancePenalty</t>
  </si>
  <si>
    <t>this constant defines the penalty of the distance</t>
  </si>
  <si>
    <t>-1.0</t>
  </si>
  <si>
    <t>hasFuelCost</t>
  </si>
  <si>
    <t>this constant defines the penalty of the fuel, typically the fuel price</t>
  </si>
  <si>
    <t>-8.0</t>
  </si>
  <si>
    <t>Individuals</t>
  </si>
  <si>
    <t>ExplanationType</t>
  </si>
  <si>
    <t>hasFuelThreshold</t>
  </si>
  <si>
    <t>when the fuel score penalty is less than this threshold, the system returns reject reason. Commonly negative.</t>
  </si>
  <si>
    <t>hasUntilFreeTime</t>
  </si>
  <si>
    <t>xsd:int</t>
  </si>
  <si>
    <t>Assuming that the vehicle cannot change the direction when it is already at a route, the time until it is going to be free. Unit min</t>
  </si>
  <si>
    <t>self.pickup_rou_record_for_reward.iloc[action,1] * 240</t>
  </si>
  <si>
    <t>hasPickupTime</t>
  </si>
  <si>
    <t>how much time from the next node stop to the pick-up factory of the object order, unit min. 
This differs for each vehicle</t>
  </si>
  <si>
    <t>how much weight the vehicle can carry in maximum, unit kg</t>
  </si>
  <si>
    <t>how much weight the vehicle is carrying, unit kg</t>
  </si>
  <si>
    <t>hasTimeCost</t>
  </si>
  <si>
    <t xml:space="preserve">this constant defines the penalty of the time, typically the unit salary </t>
  </si>
  <si>
    <t>-20.0</t>
  </si>
  <si>
    <t>hasTimeUntilPickupScore</t>
  </si>
  <si>
    <t>TimeSpendReason</t>
  </si>
  <si>
    <t>TimeLoadingUnloading</t>
  </si>
  <si>
    <t>hasTimeUntilPickupThreshold</t>
  </si>
  <si>
    <t>hasTimeLoadingUnloadingThreshold</t>
  </si>
  <si>
    <t>when the until free and pickup time penalty is less than this threshold, the system returns reject reason. Commonly negative.</t>
  </si>
  <si>
    <t>when the loading and unloading time penalty is less than this threshold, the system returns reject reason. Commonly negative.</t>
  </si>
  <si>
    <t>Vehicle(?v) ^ hasLoadingTime(?v, ?loadingtime) ^ hasUnloadingTime(?v, ?unloadingtime) ^ 
Order(?o)  
VOPair(?p) ^ hasPairedVehicle(?p, ?v) ^ hasPairedOrder(?p, ?o) ^
SystemConfig(?globalsetting) ^ hasTimeCost(?globalsetting, ?constanttimecost)
swrlb:add(?sumtime, ?loadingtime, ?unloadingtime) ^ swrlb:multiply(?score, ?constanttimecost, ?sumtime)
-&gt; hasTimeLoadingUnloadingScore(?p, ?score)
SystemConfig(?globalsetting) ^ hasTimeLoadingUnloadingThreshold(?globalsetting, ?timethreshold)
VOPair(?p) ^ hasTimeLoadingUnloadingScore(?p, ?score) ^ swrlb:lessThan(?score, ?timethreshold)
-&gt; hasRejectionReason(?p, "TimeSpendReason")</t>
  </si>
  <si>
    <t>TimeFirstOrderUrgency</t>
  </si>
  <si>
    <t>hasTimeFirstOrderUrgencyThreshold</t>
  </si>
  <si>
    <t>hasLoadingTime</t>
  </si>
  <si>
    <t>hasUnloadingTime</t>
  </si>
  <si>
    <t>how much time this vehicle has to spend time for loading the object order, unit min. 
This differs for each vehicle</t>
  </si>
  <si>
    <t>how much time this vehicle has to spend time for unloading the object order, unit min. 
This differs for each vehicle</t>
  </si>
  <si>
    <t>self.id_to_vehicle.loc[action,'hasRemainingTimeUntilFree']</t>
  </si>
  <si>
    <t>self._calculate_the_loading_time(self.id_to_vehicle.loc[action,'hasProductAdaptivity'],self.id_to_order.loc[self.current_action_order,'ScaleOfCargo hasNumberOfPallets'])</t>
  </si>
  <si>
    <t>self._calculate_the_unloading_time(self.id_to_vehicle.loc[action,'hasProductAdaptivity'],self.id_to_order.loc[self.current_action_order,'ScaleOfCargo hasNumberOfPallets']</t>
  </si>
  <si>
    <t>Vehicle(?v) ^ hasFirstOrderRemainingTime(?v, ?firstorderurgency) ^
Order(?o)  
VOPair(?p) ^ hasPairedVehicle(?p, ?v) ^ hasPairedOrder(?p, ?o) ^
SystemConfig(?globalsetting) ^ hasTimeCost(?globalsetting, ?constanttimecost) ^ swrlb:multiply(?score, ?constanttimecost, ?firstorderurgency)
-&gt; hasTimeFirstOrderUrgencyScore(?p, ?score)
SystemConfig(?globalsetting) ^ hasTimeFirstOrderUrgencyThreshold(?globalsetting, ?timethreshold)
VOPair(?p) ^ hasTimeFirstOrderUrgencyScore(?p, ?score) ^ swrlb:lessThan(?score, ?timethreshold)
-&gt; hasRejectionReason(?p, "UrgencyReason")</t>
  </si>
  <si>
    <t>hasFirstOrderRemainingTime</t>
  </si>
  <si>
    <t>(self.current_time - self.id_to_order.loc[(self.id_to_vehicle['TakenOrderStack'].str[0] - 1).dropna(), 'hasCommittedDeliveryTimeMinutes']).to_numpy()</t>
  </si>
  <si>
    <t>how much time it remains to finish the first order in the carrying stack of the vehicle, unit min. 
This differs for each vehicle. This veriable can be either positive or negative.</t>
  </si>
  <si>
    <t>hasTimeFirstOrderUrgencyScore</t>
  </si>
  <si>
    <t>hasTimeLoadingUnloadingScore</t>
  </si>
  <si>
    <t>UrgencyReason</t>
  </si>
  <si>
    <t>Preference Rules (reward)</t>
  </si>
  <si>
    <t>BusinessLogicRules</t>
  </si>
  <si>
    <t>business logic</t>
  </si>
  <si>
    <t>for the delay mechanic, If an order is too much delayed, we must prioritize ANY truck that can take it, even if it's not efficient.</t>
  </si>
  <si>
    <t>DelayMechanic</t>
  </si>
  <si>
    <t>the score of a (v,o) pair about the fuel consumption. This score is negative.</t>
  </si>
  <si>
    <t>the score of a (v,o) pair about the time consumption until the pick up of the object order. This score is negative.</t>
  </si>
  <si>
    <t>the score of a (v,o) pair about the time consumption about the loading and unloading of the object order. This score is negative.</t>
  </si>
  <si>
    <t>the score of a (v,o) pair about the time urgency of the first carried order. This score is negative.</t>
  </si>
  <si>
    <t>DelayHeuristicLogic</t>
  </si>
  <si>
    <t>hasCreatedOrderAge</t>
  </si>
  <si>
    <t>elf.id_to_order['RealDispatchTime'] - self.id_to_order['hasCreationTimeMinutes']</t>
  </si>
  <si>
    <t>how much time this order has been generaged but not allocated till now. Always integer multiples of 10 (the unit delay time)</t>
  </si>
  <si>
    <t>This logic is based on Opportunity Cost idea. We involve our reward scores, for example, if the sum up of hasTimeFirstOrderUrgencyScore(?p, ?score), hasFuelConsumptionScore(?p, ?score) etc...(these scores are penamty negative, here we select the min value for all the vehicles, i.e. even the best matching is not good enough) and the negative order delayed age is less than a threshold, we try to wait for a better circumstance.</t>
  </si>
  <si>
    <t>DelayMaskLogic</t>
  </si>
  <si>
    <t>Vehicle(?v) ^
Order(?o) ^ 
VOPair(?p) ^ hasPairedVehicle(?p, ?v) ^ hasPairedOrder(?p, ?o) ^
hasRejectionReason(?p, "OverweightConstraint") ^ hasRejectionReason(?p, "TypeMatchConstraint")
-&gt; hasDelayReason(?p, "AllMasksFalse")</t>
  </si>
  <si>
    <t>hasPairedOrder</t>
  </si>
  <si>
    <t>hasDelayReason</t>
  </si>
  <si>
    <t>for the delay mechanic, if a vo pair vector has a delay reason, the order should be delayed</t>
  </si>
  <si>
    <t>hasDelayThreshold</t>
  </si>
  <si>
    <t>hasOrderAgeFactor</t>
  </si>
  <si>
    <t>when the delay score penalty is less than this threshold, the system returns delay reason. Commonly negative.</t>
  </si>
  <si>
    <t>-10.0</t>
  </si>
  <si>
    <t>-100.0</t>
  </si>
  <si>
    <t xml:space="preserve">this constant defines the penalty of the delay score </t>
  </si>
  <si>
    <t>DelayReason</t>
  </si>
  <si>
    <t>AllMasksFalse</t>
  </si>
  <si>
    <t>WaitForOptimal</t>
  </si>
  <si>
    <t>Main Idea: besides these explicit rules, the DQN may learn some implicity rules, or we are going to implement it later. We model whatever we can clearify as BusinessLogicRules</t>
  </si>
  <si>
    <t>FatigueMandatoryBreak</t>
  </si>
  <si>
    <t>hasCarryingOrderEstimateFinishTime</t>
  </si>
  <si>
    <t>how much time we estimate to finish the already taken orders</t>
  </si>
  <si>
    <t>self.id_to_vehicle['CarryingOrderEstimateFinishTime']</t>
  </si>
  <si>
    <t>hasEstimateFinishTime</t>
  </si>
  <si>
    <t>how much time we estimate to finish the current order. Note: this is just an estimation. The real time may change a lot.</t>
  </si>
  <si>
    <t>self.id_to_order['EstimateFinishTime']</t>
  </si>
  <si>
    <t>hasFatigueLimit</t>
  </si>
  <si>
    <t>according to the EU Regulation 561/2006, drive should take a 45min break after 4.5 driving</t>
  </si>
  <si>
    <t xml:space="preserve">Vehicle(?v) ^ hasFatigue(?v, ?fatigue) ^ hasCarryingOrderEstimateFinishTime(?v, ?estimatecarrying)
Order(?o) ^ hasEstimateFinishTime(?o, ?estimateorder)
VOPair(?p) ^ hasPairedVehicle(?p, ?v) ^  hasPairedOrder(?p, ?o) ^
SystemConfig(?cfg) ^ hasFatigueLimit(?cfg, 270.0) ^ hasTimeCost(?globalsetting, ?constanttimecost) ^
swrlb:add(?sumfatiguetime, ?fatigue, ?estimatecarrying, ?estimatecarrying) ^
swrlb:substract(?fatigueovertime, 270, ?sumfatiguetime) ^
swrlb:multiply(?score, ?fatigueovertime, ?constanttimecost) ^
swrlb:greaterThan(?sumfatiguetime, 270)
-&gt; hasFatiguePenaltyScore(?p, ?score)
SystemConfig(?globalsetting) ^ hasFatigueThreshold(?globalsetting, ?fatiguethreshold)
VOPair(?p) ^ hasFatigueScore(?p, ?score) ^ swrlb:lessThan(?score, ?fatiguethreshold)
-&gt; hasRejectionReason(?p, "FatigueMandatoryBreak") </t>
  </si>
  <si>
    <t>hasFatigueThreshold</t>
  </si>
  <si>
    <t>when the fatigue penalty is less than this threshold, the system returns fatigue reason. Commonly negative.</t>
  </si>
  <si>
    <t>In fact, I suggest the hasFatigueScore directly calculated by the python script. We apply a S-curve to calculate this.</t>
  </si>
  <si>
    <t>add 10-15% electric vehicles in 1.5t-10t capacity range</t>
  </si>
  <si>
    <t>isElectricVehicle</t>
  </si>
  <si>
    <t>hasLoadingVolume(pallets)</t>
  </si>
  <si>
    <r>
      <t xml:space="preserve">the EU logistic standard is the </t>
    </r>
    <r>
      <rPr>
        <b/>
        <sz val="11"/>
        <color theme="1"/>
        <rFont val="Calibri"/>
        <family val="2"/>
        <scheme val="minor"/>
      </rPr>
      <t>EPAL Euro Pallet</t>
    </r>
  </si>
  <si>
    <t>I defined the electric vehicle flag for the inner urban logistics</t>
  </si>
  <si>
    <t>hasChosenDeliveryRoute</t>
  </si>
  <si>
    <t>for a certain order, there is a certain optimized chosen route.</t>
  </si>
  <si>
    <t>NoiseControl</t>
  </si>
  <si>
    <t>RoadQuality</t>
  </si>
  <si>
    <t>to be implemented in the next edition</t>
  </si>
  <si>
    <t>EmissionControl</t>
  </si>
  <si>
    <t>to be implemented</t>
  </si>
  <si>
    <t>Vehicle(?v) ^ hasCurrentVolume(?v, ?currentvolume) ^ hasLoadingVolume(?v, ?capacityvolume) ^ 
Order(?o) ^ hasNumberOfPallets(?o, ?palletsnumber) ^ 
VOPair(?p) ^ hasPairedVehicle(?p, ?v) ^ hasPairedOrder(?p, ?o) ^
swrlb:add(?sum, ?currentvolume, ?palletsnumber) ^ swrlb:greaterThan(?sum, ?capacityvolume) 
-&gt; hasRejectionReason(?p, "OverVolumeConstraint")</t>
  </si>
  <si>
    <t>OverVolumeConstraint</t>
  </si>
  <si>
    <t>Timepoint</t>
  </si>
  <si>
    <t>self.current_time</t>
  </si>
  <si>
    <t xml:space="preserve">type. int </t>
  </si>
  <si>
    <t>The current time during a certain day, unit minute</t>
  </si>
  <si>
    <t>DeliveryFactory</t>
  </si>
  <si>
    <t>SustainabilityReason</t>
  </si>
  <si>
    <t>NoiseReason</t>
  </si>
  <si>
    <t>EmissionReason</t>
  </si>
  <si>
    <t>Vehicle(?v) ^
Order(?o) ^ hasCreatedOrderAge(?o, ?orderage) ^
VOPair(?p) ^ hasPairedVehicle(?p, ?v) ^ hasPairedOrder(?p, ?o) ^
hasFuelConsumptionScore(?p, ?score1) ^ hasTimeUntilPickupScore(?p, ?score2) ^ hasTimeLoadingUnloadingScore(?p, ?score3) ^ hasTimeFirstOrderUrgencyScore(?p, ?score4) ^ hasFatigueScore(?p, ?score5) ^ 
SystemConfig(?globalsetting) ^ hasOrderAgeFactor(?globalsetting, ?constantorderagefactor) ^ hasDelayThreshold(?globalsetting, ?delaythreshold)
swrlb:multiply(?score6, ?orderage, ?constantorderagefactor) ^ 
swrlb:add(?delayscore, ?score1, ?score2, ?score3, ?score4, ?score5, ?score6) ^ swrlb:lessThan(?delayscore, ?delaythreshold)
-&gt; hasDelayReason(?p, "WaitForOptimal")</t>
  </si>
  <si>
    <t>xsd:boolean</t>
  </si>
  <si>
    <t>if this vehicle is a electric vehicle</t>
  </si>
  <si>
    <t>True</t>
  </si>
  <si>
    <t>hasRouteProperty</t>
  </si>
  <si>
    <t>TimeRestrict</t>
  </si>
  <si>
    <t>The time restrict of the certain route. See class TimeRestrict</t>
  </si>
  <si>
    <t>The route quality of the certain route. See class RoadQuality</t>
  </si>
  <si>
    <t>RouteAttribute</t>
  </si>
  <si>
    <t>xsd:string</t>
  </si>
  <si>
    <t xml:space="preserve">The id of pickup factory. A unique integer number. </t>
  </si>
  <si>
    <t xml:space="preserve">The id of delivery factory. A unique integer number. </t>
  </si>
  <si>
    <t>self.id_to_order['hasPickupFactory']</t>
  </si>
  <si>
    <t>self.id_to_order['hasDeliveryFactory']</t>
  </si>
  <si>
    <t>self.id_to_route['hasTimeRestrict']</t>
  </si>
  <si>
    <t>self.id_to_route['hasRoadQuality']</t>
  </si>
  <si>
    <t>The time restrict of a certain route. For example, a RushHourRestrict will restrict the vehicles to run on the rush hour.</t>
  </si>
  <si>
    <t>LowQualityRoads</t>
  </si>
  <si>
    <t>The road quality of a certain route. For example, a LowQualityRoads will restrict the heavy vehicles.</t>
  </si>
  <si>
    <t xml:space="preserve">Vehicle(?v) ^ isElectricVehicle(?v, false)
Order(?o) ^ hasChosenDeliveryRoute(?o, ?r) ^
Route(?r) ^ hasTimeRestrict(?r, NoiseControlRestrict) ^ hasRoadQuality(?r, lowQualityRoads) ^
VOPair(?p) ^ hasPairedVehicle(?p, ?v) ^  hasPairedOrder(?p, ?o) ^
-&gt; hasRejectionReason(?p, "EmissionReason") </t>
  </si>
  <si>
    <t xml:space="preserve">Vehicle(?v) ^ hasLoadingCapacity(?v, ?loadingcapacity) ^
Order(?o) ^ hasChosenDeliveryRoute(?o, ?r) ^
Route(?r) ^ hasTimeRestrict(?r, NoiseControlRestrict) ^
SystemConfig(?cfg) ^ hasNoiceWeightLimit(?cfg, 10000) ^
VOPair(?p) ^ hasPairedVehicle(?p, ?v) ^  hasPairedOrder(?p, ?o) ^
swrlb:greaterThan(?loadingcapacity, 10000)
-&gt; hasRejectionReason(?p, "NoiseReason") </t>
  </si>
  <si>
    <t xml:space="preserve">Vehicle(?v) ^ hasLoadingCapacity(?v, ?loadingcapacity) ^
Order(?o) ^ hasChosenDeliveryRoute(?o, ?r) ^
Route(?r) ^  hasRoadQuality(?r, lowQualityRoads)  ^
SystemConfig(?cfg) ^ hasRoadQualityWeightLimit(?cfg, 10000) ^
VOPair(?p) ^ hasPairedVehicle(?p, ?v) ^  hasPairedOrder(?p, ?o) ^
swrlb:greaterThan(?loadingcapacity, 10000)
-&gt; hasRejectionReason(?p, "RoadQualityReason") </t>
  </si>
  <si>
    <t>hasNoiceWeightLimit</t>
  </si>
  <si>
    <t>How many kilograms weight will restrict the vehicle enter the NoiseControlRestrict route</t>
  </si>
  <si>
    <t>hasRoadQualityWeightLimit</t>
  </si>
  <si>
    <t>How many kilograms weight will restrict the vehicle enter the LowQualityRoads route</t>
  </si>
  <si>
    <t>hasCurrentVolume</t>
  </si>
  <si>
    <t>Number of pallets that has already taken in the object vehicle.</t>
  </si>
  <si>
    <t>hasLoadingVolume</t>
  </si>
  <si>
    <t>Number of pallets capacity that can be taken in the object vehicle.</t>
  </si>
  <si>
    <t>RushHourControl</t>
  </si>
  <si>
    <t>to be implemented in the next edition. We can give small vans and electric vehicles some exception</t>
  </si>
  <si>
    <r>
      <t xml:space="preserve">Vehicle(?v) ^  </t>
    </r>
    <r>
      <rPr>
        <sz val="11"/>
        <color theme="9"/>
        <rFont val="Calibri"/>
        <family val="2"/>
        <scheme val="minor"/>
      </rPr>
      <t>isElectricVehicle(?v, false)</t>
    </r>
    <r>
      <rPr>
        <sz val="11"/>
        <color theme="1"/>
        <rFont val="Calibri"/>
        <family val="2"/>
        <scheme val="minor"/>
      </rPr>
      <t xml:space="preserve"> ^
Order(?o) ^ hasChosenDeliveryRoute(?o, ?r) ^
Route(?r) ^ hasTimeRestrict(?r, RushHourRestrict) ^
TimePoint(?time) ^ 
VOPair(?p) ^ hasPairedVehicle(?p, ?v) ^  hasPairedOrder(?p, ?o) ^
swrlb:greaterThan(?time, 420) ^ swrlb:lessThan(?time, 540)
-&gt; hasRejectionReason(?p, "NoiseReason") 
Vehicle(?v) ^  isElectricVehicle(?v, false) ^
Order(?o) ^ hasChosenDeliveryRoute(?o, ?r) ^
Route(?r) ^ hasTimeRestrict(?r, RushHourRestrict) ^
TimePoint(?time) ^ 
VOPair(?p) ^ hasPairedVehicle(?p, ?v) ^  hasPairedOrder(?p, ?o) ^
swrlb:greaterThan(?time, 720) ^ swrlb:lessThan(?time, 840)
-&gt; hasRejectionReason(?p, "NoiseReason") 
Vehicle(?v) ^  isElectricVehicle(?v, false) ^
Order(?o) ^ hasChosenDeliveryRoute(?o, ?r) ^
Route(?r) ^ hasTimeRestrict(?r, RushHourRestrict) ^
TimePoint(?time) ^ 
VOPair(?p) ^ hasPairedVehicle(?p, ?v) ^  hasPairedOrder(?p, ?o) ^
swrlb:greaterThan(?time, 1020) ^ swrlb:lessThan(?time, 1140)
-&gt; hasRejectionReason(?p, "NoiseReason") </t>
    </r>
  </si>
  <si>
    <t>FatigueAvoidance</t>
  </si>
  <si>
    <t>1, mask: OverweightConstraint, TypeMatchConstraint , OverVolumeConstraint; 2, reward: FuelConsumption, TimeUntilPickup, TimeLoadingUnloading, TimeFirstOrderUrgency, FatigueAvoidance; 3, DelayMechanic: DelayMaskLogic(all-False mask), DelayHeuristicLogic(low reward); 4, BusinessLogicRules: BusinessLogicRules, NoiseControl, RushHourControl, RoadQuality.</t>
  </si>
  <si>
    <t>how much distance from the pick-up factory to the delievery factory of the object order, unit km. This differs is same for a certain order</t>
  </si>
  <si>
    <t>class</t>
  </si>
  <si>
    <t>hasFatiguePenaltyScore</t>
  </si>
  <si>
    <t>the score of a (v,o) pair about the vehicle fatigue. This score is negative.</t>
  </si>
  <si>
    <t>pickup_and_delivery_fuel_consumption</t>
  </si>
  <si>
    <t>until_free_and_pick_up_time</t>
  </si>
  <si>
    <t>loading_and_unloading_time</t>
  </si>
  <si>
    <t>first_order_urgency</t>
  </si>
  <si>
    <t>fatigue_penalty</t>
  </si>
  <si>
    <t>supplier</t>
  </si>
  <si>
    <t>hasOriginModel</t>
  </si>
  <si>
    <t>hub</t>
  </si>
  <si>
    <t>_get_stochastic_dock_queuing_time</t>
  </si>
  <si>
    <t>Strategic Refueling</t>
  </si>
  <si>
    <t>DriverWorkshift</t>
  </si>
  <si>
    <t>the order level (VIP tier)</t>
  </si>
  <si>
    <t>Reverse Logistics</t>
  </si>
  <si>
    <t xml:space="preserve">pockets: other possible business rules </t>
  </si>
  <si>
    <t>We have a waste collection vehicle and a recycle site. Try to generate some reverse logistics order instances when enlarging our dataset</t>
  </si>
  <si>
    <t>Fragile Cargo</t>
  </si>
  <si>
    <t>I am in process of coding this in our simulator</t>
  </si>
  <si>
    <t>We do not model the speed, but we can give some restrictions for HighValueGoods</t>
  </si>
  <si>
    <t>distributor</t>
  </si>
  <si>
    <t>DriverWorkshift: add a work shift sub-system, if the current driver is about to finish his/her job today, punish the additional allocation</t>
  </si>
  <si>
    <t>Shift Name,Schedule,% of Fleet,Primary Mission</t>
  </si>
  <si>
    <t>D (Night),21:00 - 06:00,5%,"Line-haul (Hub-to-Hub), Emergency, Recycle"</t>
  </si>
  <si>
    <t>C (Late),13:00 - 22:00,15%,"E-commerce, Evening Returns, Home Delivery, Recycle"</t>
  </si>
  <si>
    <t>hasWorkshiftEndsAt</t>
  </si>
  <si>
    <t>A (Golden Window),05:00 - 14:00,40%,"Fresh Food, Bakery, Traffic Beaters"</t>
  </si>
  <si>
    <t>B (Day),08:00 - 17:00,40%,"Standard B2B, Offices, Industrial"</t>
  </si>
  <si>
    <t>logic: the drivers do not start the new order which comes within one hour before they finish their job today. 
That is, when the vehicle start from the depot, if current time is 300(5h), the workshift ends at 840 instead of 360.
The reward will punish the allocation to the vehicles whose workshift end is near.
We do NOT model the human resource system.</t>
  </si>
  <si>
    <t>hasDockQueuingTime</t>
  </si>
  <si>
    <t>self._get_stochastic_dock_queuing_time(current_factory_id)</t>
  </si>
  <si>
    <t>The dock queuing time for the current vehicle at the current node. Only valid when the vehicle is at any factory node and doing loading or unloading. This is calculated by a stochastic function, with several environment factors.</t>
  </si>
  <si>
    <t>done in simulator</t>
  </si>
  <si>
    <t>Appendix</t>
  </si>
  <si>
    <t>stop here</t>
  </si>
  <si>
    <t>recycle</t>
  </si>
  <si>
    <t>handcraft, clothing, furniture supplier</t>
  </si>
  <si>
    <t>algriculture origin freshproduce, small</t>
  </si>
  <si>
    <t>0.15</t>
  </si>
  <si>
    <t>0.22</t>
  </si>
  <si>
    <t>FactoryAttribute</t>
  </si>
  <si>
    <t>hasRegionType</t>
  </si>
  <si>
    <t>RuralRegion</t>
  </si>
  <si>
    <t>SuburbRegion</t>
  </si>
  <si>
    <t>UrbanRegion</t>
  </si>
  <si>
    <t>CentralBusinessDistrict</t>
  </si>
  <si>
    <t>SatelliteCityRegion</t>
  </si>
  <si>
    <t>Supplier</t>
  </si>
  <si>
    <t>Distributor</t>
  </si>
  <si>
    <t>Hub</t>
  </si>
  <si>
    <t>Recycle</t>
  </si>
  <si>
    <t>ConceptualEntity</t>
  </si>
  <si>
    <t>GlobalVariable</t>
  </si>
  <si>
    <t>ExplanationConcept</t>
  </si>
  <si>
    <t>Vehicle(?v) ^ hasLoadingWeight(?v, ?currentweight) ^ hasLoadingCapacity(?v, ?loadingcapacity) ^ 
Order(?o) ^ hasScaleOfCargo(?o, ?orderweight) ^ 
VOPair(?p) ^ hasPairedVehicle(?p, ?v) ^ hasPairedOrder(?p, ?o) ^
swrlb:add(?sum, ?currentweight, ?orderweight) ^ swrlb:greaterThan(?sum, ?loadingcapacity) 
-&gt; hasRejectionReason(?p, rejectionreason_OverweightReason)</t>
  </si>
  <si>
    <t>Vehicle(?v) ^ bearer_of_ProductAdaptivity(?v, ?productadaptivity) ^ 
Order(?o) ^ specifies_ProductType(?o, ?producttype) ^ 
VOPair(?p) ^ hasPairedVehicle(?p, ?v) ^ hasPairedOrder(?p, ?o) ^
is_compatible_with(?productadaptivity, ?producttype)
-&gt; hasRejectionReason(?p, rejectionreason_InvalidCompatibilityReason)</t>
  </si>
  <si>
    <t>Vehicle(?v) ^ hasNumberOfFuelConsumption(?v, ?fuelconsumption) ^ hasPickupDistance(?v, ?pickupdistance) ^ 
Order(?o) ^  
VOPair(?p) ^ hasPairedVehicle(?p, ?v) ^ hasPairedOrder(?p, ?o) ^
swrlb:add(?sumdistance, ?pickupdistance, ?deliverydistance) ^swrlb:multiply(?totalfuelconsumption, ?sumdistance, ?fuelconsumption)
-&gt; hasPenaltyFuelConsumptionScore(?p, ?score)
SystemConfig(?globalsetting) ^ hasFuelThreshold(?globalsetting, ?fuelthreshold)
VOPair(?p) ^ hasPenaltyFuelConsumptionScore(?p, ?score) ^ swrlb:lessThan(?score, ?fuelthreshold)
-&gt; hasOptimizationReason(?p, explanationreason_FuelExpenseReason)</t>
  </si>
  <si>
    <t>Vehicle(?v) ^ hasUntilFreeTime(?v, ?untilfreetime) ^ hasCarryingOrderEstimateFinishTime(?v, ?pickuptime) ^ 
Order(?o)  
VOPair(?p) ^ hasPairedVehicle(?p, ?v) ^ hasPairedOrder(?p, ?o) ^
SystemConfig(?globalsetting) ^ hasTimeCost(?globalsetting, ?constanttimecost)
swrlb:add(?sumtime, ?untilfreetime, ?pickuptime) ^ swrlb:multiply(?score, ?constanttimecost, ?sumtime)
-&gt; hasTimeUntilPickupScore(?p, ?score)
SystemConfig(?globalsetting) ^ hasTimeUntilPickupThreshold(?globalsetting, ?timethreshold) ^
VOPair(?p) ^ hasTimeUntilPickupScore(?p, ?score) ^ swrlb:lessThan(?score, ?timethreshold)
-&gt; hasRejectionReason(?p, "TimeSpendReason")</t>
  </si>
  <si>
    <t>TimeUntilFree</t>
  </si>
  <si>
    <t>edition 2</t>
  </si>
  <si>
    <t>Order(?o) ^  </t>
  </si>
  <si>
    <t>VOPair(?p) ^ hasPairedVehicle(?p, ?v) ^ hasPairedOrder(?p, ?o) ^</t>
  </si>
  <si>
    <t>swrlb:add(?sumdistance, ?pickupdistance, ?deliverydistance) ^swrlb:multiply(?totalfuelconsumption, ?sumdistance, ?fuelconsumption)</t>
  </si>
  <si>
    <t>-&gt; hasPenaltyFuelConsumptionScore(?p, ?score)</t>
  </si>
  <si>
    <t>SystemConfig(?globalsetting) ^ hasFuelThreshold(?globalsetting, ?fuelthreshold)</t>
  </si>
  <si>
    <t>VOPair(?p) ^ hasPenaltyFuelConsumptionScore(?p, ?score) ^ swrlb:lessThan(?score, ?fuelthreshold)</t>
  </si>
  <si>
    <t>-&gt; hasOptimizationReason(?p, explanationreason_FuelExpenseReason)</t>
  </si>
  <si>
    <t xml:space="preserve">Vehicle(?v) ^ bearer_of_FuelEfficiency(?v, ?fuelefficiency) ^ hasNumberOfFuelConsumption(?fuelefficiency, ?fuelefficiencyvalue) ^ 
            Order(?o) ^  
            Route(?r) ^ bearer_of_Distance(?r, ?distance) ^ has_distance_value(?distance, ?distancevalue) ^
            VOPair(?p) ^ hasPairedVehicle(?p, ?v) ^ hasPairedOrder(?p, ?o) ^ bearer_of_PickupRoad(?p, ?r) ^
            FuelConsumptionScore(?fuelconsumptionscore) ^ hasScore(?p, ?fuelconsumptionscore) ^
            multiply(?scorevalue, ?fuelefficiencyvalue, ?distancevalue)
            -&gt; hasPenaltyFuelConsumptionScore(?fuelconsumptionscore, ?scorevalue)
SystemConfig(?globalsetting) ^ has_information_part(?globalsetting, ?fuelefficiencythreshold) ^ hasThresholdValue(?fuelefficiencythreshold, ?fuelefficiencythresholdvalue) ^
            VOPair(?p) ^ hasScore(?p, ?fuelconsumptionscore) ^ hasPenaltyFuelConsumptionScore(?fuelconsumptionscore, ?scorevalue) ^
            greaterThan(?scorevalue, ?fuelefficiencythresholdvalue)
            -&gt; hasOptimizationReason(?p, explanationreason_FuelExpenseReason)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</si>
</sst>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8" x14ac:knownFonts="1">
    <font>
      <sz val="11"/>
      <color theme="1"/>
      <name val="Calibri"/>
      <family val="2"/>
      <scheme val="minor"/>
    </font>
    <font>
      <sz val="11"/>
      <color rgb="FF9C0006"/>
      <name val="Calibri"/>
      <family val="2"/>
      <scheme val="minor"/>
    </font>
    <font>
      <sz val="11"/>
      <color rgb="FF9C5700"/>
      <name val="Calibri"/>
      <family val="2"/>
      <scheme val="minor"/>
    </font>
    <font>
      <sz val="8"/>
      <name val="Calibri"/>
      <family val="2"/>
      <scheme val="minor"/>
    </font>
    <font>
      <sz val="11"/>
      <color rgb="FF1F1F1F"/>
      <name val="Arial"/>
      <family val="2"/>
    </font>
    <font>
      <b/>
      <sz val="11"/>
      <color rgb="FF1F1F1F"/>
      <name val="Arial"/>
      <family val="2"/>
    </font>
    <font>
      <b/>
      <sz val="11"/>
      <color theme="1"/>
      <name val="Calibri"/>
      <family val="2"/>
      <scheme val="minor"/>
    </font>
    <font>
      <sz val="11"/>
      <color theme="9"/>
      <name val="Calibri"/>
      <family val="2"/>
      <scheme val="minor"/>
    </font>
  </fonts>
  <fills count="4">
    <fill>
      <patternFill patternType="none"/>
    </fill>
    <fill>
      <patternFill patternType="gray125"/>
    </fill>
    <fill>
      <patternFill patternType="solid">
        <fgColor rgb="FFFFC7CE"/>
      </patternFill>
    </fill>
    <fill>
      <patternFill patternType="solid">
        <fgColor rgb="FFFFEB9C"/>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9">
    <xf numFmtId="0" fontId="0" fillId="0" borderId="0" xfId="0"/>
    <xf numFmtId="0" fontId="2" fillId="3" borderId="0" xfId="2"/>
    <xf numFmtId="0" fontId="1" fillId="2" borderId="0" xfId="1"/>
    <xf numFmtId="164" fontId="0" fillId="0" borderId="0" xfId="0" applyNumberFormat="1"/>
    <xf numFmtId="0" fontId="5" fillId="0" borderId="1" xfId="0" applyFont="1" applyBorder="1" applyAlignment="1">
      <alignment vertical="center" wrapText="1" readingOrder="1"/>
    </xf>
    <xf numFmtId="0" fontId="4" fillId="0" borderId="1" xfId="0" applyFont="1" applyBorder="1" applyAlignment="1">
      <alignment vertical="center" wrapText="1" readingOrder="1"/>
    </xf>
    <xf numFmtId="0" fontId="0" fillId="0" borderId="0" xfId="0" applyAlignment="1">
      <alignment wrapText="1"/>
    </xf>
    <xf numFmtId="0" fontId="0" fillId="0" borderId="0" xfId="0" quotePrefix="1"/>
    <xf numFmtId="0" fontId="0" fillId="0" borderId="0" xfId="0" applyAlignment="1">
      <alignment horizontal="center"/>
    </xf>
  </cellXfs>
  <cellStyles count="3">
    <cellStyle name="Insatisfaisant" xfId="1" builtinId="27"/>
    <cellStyle name="Neutre"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107950</xdr:rowOff>
    </xdr:from>
    <xdr:to>
      <xdr:col>6</xdr:col>
      <xdr:colOff>4271</xdr:colOff>
      <xdr:row>31</xdr:row>
      <xdr:rowOff>0</xdr:rowOff>
    </xdr:to>
    <xdr:pic>
      <xdr:nvPicPr>
        <xdr:cNvPr id="5" name="Image 4">
          <a:extLst>
            <a:ext uri="{FF2B5EF4-FFF2-40B4-BE49-F238E27FC236}">
              <a16:creationId xmlns:a16="http://schemas.microsoft.com/office/drawing/2014/main" id="{4AFDBD43-A770-40EC-B3BB-4068BD1A59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7550" y="3238500"/>
          <a:ext cx="4944571" cy="266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292100</xdr:colOff>
      <xdr:row>16</xdr:row>
      <xdr:rowOff>133350</xdr:rowOff>
    </xdr:from>
    <xdr:to>
      <xdr:col>3</xdr:col>
      <xdr:colOff>2159911</xdr:colOff>
      <xdr:row>33</xdr:row>
      <xdr:rowOff>501650</xdr:rowOff>
    </xdr:to>
    <xdr:pic>
      <xdr:nvPicPr>
        <xdr:cNvPr id="2" name="Image 1" descr="Image of standard euro pallet dimensions">
          <a:extLst>
            <a:ext uri="{FF2B5EF4-FFF2-40B4-BE49-F238E27FC236}">
              <a16:creationId xmlns:a16="http://schemas.microsoft.com/office/drawing/2014/main" id="{DEC943BC-FB9A-451F-B806-C096529AE6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100" y="2895600"/>
          <a:ext cx="4947561" cy="349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279399</xdr:colOff>
      <xdr:row>48</xdr:row>
      <xdr:rowOff>50800</xdr:rowOff>
    </xdr:from>
    <xdr:to>
      <xdr:col>5</xdr:col>
      <xdr:colOff>1045670</xdr:colOff>
      <xdr:row>62</xdr:row>
      <xdr:rowOff>133350</xdr:rowOff>
    </xdr:to>
    <xdr:pic>
      <xdr:nvPicPr>
        <xdr:cNvPr id="4" name="Image 3">
          <a:extLst>
            <a:ext uri="{FF2B5EF4-FFF2-40B4-BE49-F238E27FC236}">
              <a16:creationId xmlns:a16="http://schemas.microsoft.com/office/drawing/2014/main" id="{311E5B7E-97B7-4D0D-8F47-08EEB0E284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8349" y="8890000"/>
          <a:ext cx="4944571" cy="266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workbookViewId="0">
      <selection activeCell="C1" sqref="C1"/>
    </sheetView>
  </sheetViews>
  <sheetFormatPr baseColWidth="10" defaultColWidth="8.7265625" defaultRowHeight="14.5" x14ac:dyDescent="0.35"/>
  <cols>
    <col min="2" max="2" width="22" customWidth="1"/>
    <col min="3" max="3" width="17" customWidth="1"/>
    <col min="4" max="4" width="14.26953125" customWidth="1"/>
  </cols>
  <sheetData>
    <row r="1" spans="1:5" x14ac:dyDescent="0.35">
      <c r="A1" t="s">
        <v>0</v>
      </c>
      <c r="B1" t="s">
        <v>2</v>
      </c>
      <c r="C1" t="s">
        <v>3</v>
      </c>
      <c r="D1" t="s">
        <v>478</v>
      </c>
      <c r="E1" t="s">
        <v>51</v>
      </c>
    </row>
    <row r="2" spans="1:5" x14ac:dyDescent="0.35">
      <c r="A2">
        <v>0</v>
      </c>
      <c r="B2" t="s">
        <v>4</v>
      </c>
      <c r="C2">
        <v>10</v>
      </c>
      <c r="D2" t="s">
        <v>1</v>
      </c>
      <c r="E2" t="s">
        <v>1</v>
      </c>
    </row>
    <row r="3" spans="1:5" x14ac:dyDescent="0.35">
      <c r="A3">
        <v>1</v>
      </c>
      <c r="B3" t="s">
        <v>10</v>
      </c>
      <c r="C3">
        <v>1</v>
      </c>
      <c r="D3" t="s">
        <v>477</v>
      </c>
      <c r="E3" t="s">
        <v>507</v>
      </c>
    </row>
    <row r="4" spans="1:5" x14ac:dyDescent="0.35">
      <c r="A4">
        <v>2</v>
      </c>
      <c r="B4" t="s">
        <v>11</v>
      </c>
      <c r="C4">
        <v>3</v>
      </c>
      <c r="D4" t="s">
        <v>477</v>
      </c>
      <c r="E4" t="s">
        <v>70</v>
      </c>
    </row>
    <row r="5" spans="1:5" x14ac:dyDescent="0.35">
      <c r="A5">
        <v>3</v>
      </c>
      <c r="B5" t="s">
        <v>10</v>
      </c>
      <c r="C5">
        <v>3</v>
      </c>
      <c r="D5" t="s">
        <v>477</v>
      </c>
      <c r="E5" t="s">
        <v>506</v>
      </c>
    </row>
    <row r="6" spans="1:5" x14ac:dyDescent="0.35">
      <c r="A6" s="1">
        <v>4</v>
      </c>
      <c r="B6" t="s">
        <v>11</v>
      </c>
      <c r="C6">
        <v>6</v>
      </c>
      <c r="D6" t="s">
        <v>477</v>
      </c>
      <c r="E6" t="s">
        <v>23</v>
      </c>
    </row>
    <row r="7" spans="1:5" x14ac:dyDescent="0.35">
      <c r="A7">
        <v>5</v>
      </c>
      <c r="B7" t="s">
        <v>10</v>
      </c>
      <c r="C7">
        <v>1</v>
      </c>
      <c r="D7" t="s">
        <v>490</v>
      </c>
      <c r="E7" t="s">
        <v>71</v>
      </c>
    </row>
    <row r="8" spans="1:5" x14ac:dyDescent="0.35">
      <c r="A8">
        <v>6</v>
      </c>
      <c r="B8" t="s">
        <v>11</v>
      </c>
      <c r="C8">
        <v>3</v>
      </c>
      <c r="D8" t="s">
        <v>490</v>
      </c>
      <c r="E8" t="s">
        <v>55</v>
      </c>
    </row>
    <row r="9" spans="1:5" x14ac:dyDescent="0.35">
      <c r="A9">
        <v>7</v>
      </c>
      <c r="B9" t="s">
        <v>10</v>
      </c>
      <c r="C9">
        <v>3</v>
      </c>
      <c r="D9" t="s">
        <v>477</v>
      </c>
      <c r="E9" t="s">
        <v>24</v>
      </c>
    </row>
    <row r="10" spans="1:5" x14ac:dyDescent="0.35">
      <c r="A10">
        <v>8</v>
      </c>
      <c r="B10" t="s">
        <v>4</v>
      </c>
      <c r="C10">
        <v>6</v>
      </c>
      <c r="D10" t="s">
        <v>479</v>
      </c>
      <c r="E10" t="s">
        <v>115</v>
      </c>
    </row>
    <row r="11" spans="1:5" x14ac:dyDescent="0.35">
      <c r="A11">
        <v>9</v>
      </c>
      <c r="B11" t="s">
        <v>4</v>
      </c>
      <c r="C11">
        <v>3</v>
      </c>
      <c r="D11" t="s">
        <v>505</v>
      </c>
      <c r="E11" t="s">
        <v>72</v>
      </c>
    </row>
    <row r="12" spans="1:5" x14ac:dyDescent="0.35">
      <c r="A12">
        <v>10</v>
      </c>
      <c r="B12" t="s">
        <v>10</v>
      </c>
      <c r="C12">
        <v>1</v>
      </c>
      <c r="D12" t="s">
        <v>490</v>
      </c>
      <c r="E12" t="s">
        <v>65</v>
      </c>
    </row>
    <row r="31" spans="1:2" ht="15" thickBot="1" x14ac:dyDescent="0.4"/>
    <row r="32" spans="1:2" ht="28.5" thickBot="1" x14ac:dyDescent="0.4">
      <c r="A32" s="4" t="s">
        <v>0</v>
      </c>
      <c r="B32" s="4" t="s">
        <v>207</v>
      </c>
    </row>
    <row r="33" spans="1:2" ht="15" thickBot="1" x14ac:dyDescent="0.4">
      <c r="A33" s="5" t="s">
        <v>208</v>
      </c>
      <c r="B33" s="5" t="s">
        <v>208</v>
      </c>
    </row>
    <row r="34" spans="1:2" ht="15" thickBot="1" x14ac:dyDescent="0.4">
      <c r="A34" s="5">
        <v>21</v>
      </c>
      <c r="B34" s="5" t="s">
        <v>209</v>
      </c>
    </row>
    <row r="35" spans="1:2" ht="15" thickBot="1" x14ac:dyDescent="0.4">
      <c r="A35" s="5">
        <v>22</v>
      </c>
      <c r="B35" s="5" t="s">
        <v>210</v>
      </c>
    </row>
    <row r="36" spans="1:2" ht="15" thickBot="1" x14ac:dyDescent="0.4">
      <c r="A36" s="5">
        <v>23</v>
      </c>
      <c r="B36" s="5" t="s">
        <v>210</v>
      </c>
    </row>
    <row r="37" spans="1:2" ht="15" thickBot="1" x14ac:dyDescent="0.4">
      <c r="A37" s="5">
        <v>24</v>
      </c>
      <c r="B37" s="5" t="s">
        <v>209</v>
      </c>
    </row>
    <row r="38" spans="1:2" ht="15" thickBot="1" x14ac:dyDescent="0.4">
      <c r="A38" s="5">
        <v>25</v>
      </c>
      <c r="B38" s="5" t="s">
        <v>211</v>
      </c>
    </row>
    <row r="39" spans="1:2" ht="15" thickBot="1" x14ac:dyDescent="0.4">
      <c r="A39" s="5" t="s">
        <v>208</v>
      </c>
      <c r="B39" s="5" t="s">
        <v>208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FBC1B-4C6B-46B0-BE5B-F998E4A8552E}">
  <dimension ref="A1:K34"/>
  <sheetViews>
    <sheetView tabSelected="1" workbookViewId="0">
      <selection activeCell="E14" sqref="E14"/>
    </sheetView>
  </sheetViews>
  <sheetFormatPr baseColWidth="10" defaultRowHeight="14.5" x14ac:dyDescent="0.35"/>
  <cols>
    <col min="2" max="2" width="20" customWidth="1"/>
    <col min="3" max="3" width="24.08984375" customWidth="1"/>
    <col min="4" max="4" width="32.453125" customWidth="1"/>
    <col min="5" max="5" width="25.6328125" customWidth="1"/>
    <col min="11" max="11" width="50.36328125" customWidth="1"/>
  </cols>
  <sheetData>
    <row r="1" spans="1:7" x14ac:dyDescent="0.35">
      <c r="A1" t="s">
        <v>12</v>
      </c>
      <c r="B1" t="s">
        <v>13</v>
      </c>
      <c r="C1" t="s">
        <v>413</v>
      </c>
      <c r="D1" t="s">
        <v>14</v>
      </c>
      <c r="E1" t="s">
        <v>16</v>
      </c>
      <c r="F1" t="s">
        <v>412</v>
      </c>
      <c r="G1" t="s">
        <v>495</v>
      </c>
    </row>
    <row r="2" spans="1:7" x14ac:dyDescent="0.35">
      <c r="A2">
        <v>1</v>
      </c>
      <c r="B2">
        <v>4000</v>
      </c>
      <c r="C2">
        <v>6</v>
      </c>
      <c r="D2" t="s">
        <v>212</v>
      </c>
      <c r="E2" t="s">
        <v>17</v>
      </c>
      <c r="F2">
        <v>0</v>
      </c>
      <c r="G2">
        <v>840</v>
      </c>
    </row>
    <row r="3" spans="1:7" x14ac:dyDescent="0.35">
      <c r="A3">
        <v>2</v>
      </c>
      <c r="B3">
        <v>6000</v>
      </c>
      <c r="C3">
        <v>8</v>
      </c>
      <c r="D3" t="s">
        <v>508</v>
      </c>
      <c r="E3" t="s">
        <v>17</v>
      </c>
      <c r="F3">
        <v>0</v>
      </c>
      <c r="G3">
        <v>840</v>
      </c>
    </row>
    <row r="4" spans="1:7" x14ac:dyDescent="0.35">
      <c r="A4">
        <v>3</v>
      </c>
      <c r="B4">
        <v>4000</v>
      </c>
      <c r="C4">
        <v>6</v>
      </c>
      <c r="D4" t="s">
        <v>212</v>
      </c>
      <c r="E4" t="s">
        <v>22</v>
      </c>
      <c r="F4">
        <v>0</v>
      </c>
      <c r="G4">
        <v>360</v>
      </c>
    </row>
    <row r="5" spans="1:7" x14ac:dyDescent="0.35">
      <c r="A5">
        <v>4</v>
      </c>
      <c r="B5">
        <v>4000</v>
      </c>
      <c r="C5">
        <v>6</v>
      </c>
      <c r="D5" t="s">
        <v>213</v>
      </c>
      <c r="E5" t="s">
        <v>19</v>
      </c>
      <c r="F5">
        <v>0</v>
      </c>
      <c r="G5">
        <v>840</v>
      </c>
    </row>
    <row r="6" spans="1:7" x14ac:dyDescent="0.35">
      <c r="A6">
        <v>5</v>
      </c>
      <c r="B6">
        <v>4000</v>
      </c>
      <c r="C6">
        <v>6</v>
      </c>
      <c r="D6" t="s">
        <v>213</v>
      </c>
      <c r="E6" t="s">
        <v>18</v>
      </c>
      <c r="F6">
        <v>0</v>
      </c>
      <c r="G6">
        <v>840</v>
      </c>
    </row>
    <row r="7" spans="1:7" x14ac:dyDescent="0.35">
      <c r="A7">
        <v>6</v>
      </c>
      <c r="B7">
        <v>9000</v>
      </c>
      <c r="C7">
        <v>15</v>
      </c>
      <c r="D7" t="s">
        <v>214</v>
      </c>
      <c r="E7" t="s">
        <v>17</v>
      </c>
      <c r="F7">
        <v>0</v>
      </c>
      <c r="G7">
        <v>840</v>
      </c>
    </row>
    <row r="8" spans="1:7" x14ac:dyDescent="0.35">
      <c r="A8">
        <v>7</v>
      </c>
      <c r="B8">
        <v>10800</v>
      </c>
      <c r="C8">
        <v>18</v>
      </c>
      <c r="D8" t="s">
        <v>509</v>
      </c>
      <c r="E8" t="s">
        <v>17</v>
      </c>
      <c r="F8">
        <v>0</v>
      </c>
      <c r="G8">
        <v>840</v>
      </c>
    </row>
    <row r="9" spans="1:7" x14ac:dyDescent="0.35">
      <c r="A9">
        <v>8</v>
      </c>
      <c r="B9">
        <v>9000</v>
      </c>
      <c r="C9">
        <v>15</v>
      </c>
      <c r="D9" t="s">
        <v>15</v>
      </c>
      <c r="E9" t="s">
        <v>19</v>
      </c>
      <c r="F9">
        <v>0</v>
      </c>
      <c r="G9">
        <v>840</v>
      </c>
    </row>
    <row r="10" spans="1:7" x14ac:dyDescent="0.35">
      <c r="A10">
        <v>9</v>
      </c>
      <c r="B10">
        <v>15000</v>
      </c>
      <c r="C10">
        <v>24</v>
      </c>
      <c r="D10" t="s">
        <v>15</v>
      </c>
      <c r="E10" t="s">
        <v>17</v>
      </c>
      <c r="F10">
        <v>0</v>
      </c>
      <c r="G10">
        <v>840</v>
      </c>
    </row>
    <row r="11" spans="1:7" x14ac:dyDescent="0.35">
      <c r="A11">
        <v>10</v>
      </c>
      <c r="B11">
        <v>24000</v>
      </c>
      <c r="C11">
        <v>33</v>
      </c>
      <c r="D11" t="s">
        <v>215</v>
      </c>
      <c r="E11" t="s">
        <v>17</v>
      </c>
      <c r="F11">
        <v>0</v>
      </c>
      <c r="G11">
        <v>840</v>
      </c>
    </row>
    <row r="12" spans="1:7" x14ac:dyDescent="0.35">
      <c r="A12">
        <v>11</v>
      </c>
      <c r="B12">
        <v>24000</v>
      </c>
      <c r="C12">
        <v>33</v>
      </c>
      <c r="D12" t="s">
        <v>215</v>
      </c>
      <c r="E12" t="s">
        <v>17</v>
      </c>
      <c r="F12">
        <v>0</v>
      </c>
      <c r="G12">
        <v>840</v>
      </c>
    </row>
    <row r="14" spans="1:7" x14ac:dyDescent="0.35">
      <c r="C14" t="s">
        <v>411</v>
      </c>
    </row>
    <row r="15" spans="1:7" x14ac:dyDescent="0.35">
      <c r="C15" t="s">
        <v>414</v>
      </c>
    </row>
    <row r="17" spans="5:11" x14ac:dyDescent="0.35">
      <c r="E17" t="s">
        <v>17</v>
      </c>
      <c r="F17" t="s">
        <v>21</v>
      </c>
      <c r="H17" t="s">
        <v>7</v>
      </c>
    </row>
    <row r="18" spans="5:11" x14ac:dyDescent="0.35">
      <c r="E18" t="s">
        <v>17</v>
      </c>
      <c r="F18" t="s">
        <v>21</v>
      </c>
      <c r="H18" t="s">
        <v>5</v>
      </c>
    </row>
    <row r="19" spans="5:11" x14ac:dyDescent="0.35">
      <c r="E19" t="s">
        <v>19</v>
      </c>
      <c r="F19" t="s">
        <v>21</v>
      </c>
      <c r="H19" t="s">
        <v>6</v>
      </c>
    </row>
    <row r="20" spans="5:11" x14ac:dyDescent="0.35">
      <c r="E20" t="s">
        <v>19</v>
      </c>
      <c r="F20" t="s">
        <v>21</v>
      </c>
      <c r="H20" t="s">
        <v>5</v>
      </c>
    </row>
    <row r="21" spans="5:11" x14ac:dyDescent="0.35">
      <c r="E21" t="s">
        <v>18</v>
      </c>
      <c r="F21" t="s">
        <v>21</v>
      </c>
      <c r="H21" t="s">
        <v>9</v>
      </c>
    </row>
    <row r="22" spans="5:11" x14ac:dyDescent="0.35">
      <c r="E22" t="s">
        <v>18</v>
      </c>
      <c r="F22" t="s">
        <v>21</v>
      </c>
      <c r="H22" t="s">
        <v>7</v>
      </c>
    </row>
    <row r="23" spans="5:11" x14ac:dyDescent="0.35">
      <c r="E23" t="s">
        <v>18</v>
      </c>
      <c r="F23" t="s">
        <v>21</v>
      </c>
      <c r="H23" t="s">
        <v>5</v>
      </c>
    </row>
    <row r="24" spans="5:11" x14ac:dyDescent="0.35">
      <c r="E24" t="s">
        <v>22</v>
      </c>
      <c r="F24" t="s">
        <v>21</v>
      </c>
      <c r="H24" t="s">
        <v>8</v>
      </c>
    </row>
    <row r="29" spans="5:11" x14ac:dyDescent="0.35">
      <c r="K29" t="s">
        <v>492</v>
      </c>
    </row>
    <row r="30" spans="5:11" x14ac:dyDescent="0.35">
      <c r="K30" t="s">
        <v>496</v>
      </c>
    </row>
    <row r="31" spans="5:11" x14ac:dyDescent="0.35">
      <c r="K31" t="s">
        <v>497</v>
      </c>
    </row>
    <row r="32" spans="5:11" x14ac:dyDescent="0.35">
      <c r="K32" t="s">
        <v>494</v>
      </c>
    </row>
    <row r="33" spans="11:11" x14ac:dyDescent="0.35">
      <c r="K33" t="s">
        <v>493</v>
      </c>
    </row>
    <row r="34" spans="11:11" ht="101.5" x14ac:dyDescent="0.35">
      <c r="K34" s="6" t="s">
        <v>498</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63B5B-A0A5-4CEE-AA2A-AA1C8EB6D838}">
  <dimension ref="A1:I48"/>
  <sheetViews>
    <sheetView workbookViewId="0">
      <selection activeCell="C15" sqref="C15"/>
    </sheetView>
  </sheetViews>
  <sheetFormatPr baseColWidth="10" defaultRowHeight="14.5" x14ac:dyDescent="0.35"/>
  <cols>
    <col min="2" max="2" width="14.26953125" customWidth="1"/>
    <col min="3" max="3" width="14.453125" customWidth="1"/>
    <col min="4" max="4" width="23.26953125" customWidth="1"/>
    <col min="5" max="5" width="22.08984375" customWidth="1"/>
    <col min="6" max="6" width="20.54296875" customWidth="1"/>
    <col min="7" max="7" width="25.7265625" customWidth="1"/>
    <col min="8" max="8" width="26.36328125" customWidth="1"/>
  </cols>
  <sheetData>
    <row r="1" spans="1:9" x14ac:dyDescent="0.35">
      <c r="A1" t="s">
        <v>25</v>
      </c>
      <c r="B1" t="s">
        <v>26</v>
      </c>
      <c r="C1" t="s">
        <v>27</v>
      </c>
      <c r="D1" t="s">
        <v>31</v>
      </c>
      <c r="E1" t="s">
        <v>30</v>
      </c>
      <c r="F1" t="s">
        <v>28</v>
      </c>
      <c r="G1" t="s">
        <v>29</v>
      </c>
      <c r="H1" t="s">
        <v>113</v>
      </c>
      <c r="I1" t="s">
        <v>35</v>
      </c>
    </row>
    <row r="2" spans="1:9" x14ac:dyDescent="0.35">
      <c r="A2">
        <v>1</v>
      </c>
      <c r="B2">
        <v>0</v>
      </c>
      <c r="C2">
        <v>1</v>
      </c>
      <c r="D2" t="s">
        <v>144</v>
      </c>
      <c r="E2">
        <v>10</v>
      </c>
      <c r="F2" t="s">
        <v>32</v>
      </c>
      <c r="G2" t="s">
        <v>33</v>
      </c>
      <c r="H2">
        <v>1</v>
      </c>
    </row>
    <row r="3" spans="1:9" x14ac:dyDescent="0.35">
      <c r="A3">
        <v>2</v>
      </c>
      <c r="B3">
        <v>0</v>
      </c>
      <c r="C3">
        <v>2</v>
      </c>
      <c r="D3" t="s">
        <v>145</v>
      </c>
      <c r="E3">
        <v>20</v>
      </c>
      <c r="F3" t="s">
        <v>37</v>
      </c>
      <c r="G3" t="s">
        <v>34</v>
      </c>
      <c r="H3">
        <v>1</v>
      </c>
      <c r="I3" t="s">
        <v>36</v>
      </c>
    </row>
    <row r="4" spans="1:9" x14ac:dyDescent="0.35">
      <c r="A4">
        <v>3</v>
      </c>
      <c r="B4">
        <v>0</v>
      </c>
      <c r="C4">
        <v>2</v>
      </c>
      <c r="D4" t="s">
        <v>146</v>
      </c>
      <c r="E4">
        <v>22</v>
      </c>
      <c r="F4" t="s">
        <v>32</v>
      </c>
      <c r="G4" t="s">
        <v>33</v>
      </c>
      <c r="H4">
        <v>1</v>
      </c>
    </row>
    <row r="5" spans="1:9" x14ac:dyDescent="0.35">
      <c r="A5">
        <v>4</v>
      </c>
      <c r="B5">
        <v>0</v>
      </c>
      <c r="C5">
        <v>3</v>
      </c>
      <c r="D5" t="s">
        <v>147</v>
      </c>
      <c r="E5">
        <v>24</v>
      </c>
      <c r="F5" t="s">
        <v>37</v>
      </c>
      <c r="G5" t="s">
        <v>34</v>
      </c>
      <c r="H5">
        <v>1</v>
      </c>
      <c r="I5" t="s">
        <v>36</v>
      </c>
    </row>
    <row r="6" spans="1:9" x14ac:dyDescent="0.35">
      <c r="A6">
        <v>5</v>
      </c>
      <c r="B6">
        <v>0</v>
      </c>
      <c r="C6">
        <v>3</v>
      </c>
      <c r="D6" t="s">
        <v>148</v>
      </c>
      <c r="E6">
        <v>30</v>
      </c>
      <c r="F6" t="s">
        <v>32</v>
      </c>
      <c r="G6" t="s">
        <v>33</v>
      </c>
      <c r="H6">
        <v>1</v>
      </c>
    </row>
    <row r="7" spans="1:9" x14ac:dyDescent="0.35">
      <c r="A7">
        <v>6</v>
      </c>
      <c r="B7">
        <v>0</v>
      </c>
      <c r="C7">
        <v>4</v>
      </c>
      <c r="D7" t="s">
        <v>149</v>
      </c>
      <c r="E7">
        <v>25</v>
      </c>
      <c r="F7" t="s">
        <v>32</v>
      </c>
      <c r="G7" t="s">
        <v>33</v>
      </c>
      <c r="H7">
        <v>1</v>
      </c>
    </row>
    <row r="8" spans="1:9" x14ac:dyDescent="0.35">
      <c r="A8">
        <v>7</v>
      </c>
      <c r="B8">
        <v>0</v>
      </c>
      <c r="C8">
        <v>4</v>
      </c>
      <c r="D8" t="s">
        <v>150</v>
      </c>
      <c r="E8">
        <v>35</v>
      </c>
      <c r="F8" t="s">
        <v>32</v>
      </c>
      <c r="G8" t="s">
        <v>34</v>
      </c>
      <c r="H8">
        <v>1</v>
      </c>
      <c r="I8" t="s">
        <v>38</v>
      </c>
    </row>
    <row r="9" spans="1:9" x14ac:dyDescent="0.35">
      <c r="A9">
        <v>8</v>
      </c>
      <c r="B9">
        <v>0</v>
      </c>
      <c r="C9">
        <v>5</v>
      </c>
      <c r="D9" t="s">
        <v>151</v>
      </c>
      <c r="E9">
        <v>37</v>
      </c>
      <c r="F9" t="s">
        <v>32</v>
      </c>
      <c r="G9" t="s">
        <v>33</v>
      </c>
      <c r="H9">
        <v>1</v>
      </c>
    </row>
    <row r="10" spans="1:9" x14ac:dyDescent="0.35">
      <c r="A10">
        <v>9</v>
      </c>
      <c r="B10">
        <v>0</v>
      </c>
      <c r="C10">
        <v>5</v>
      </c>
      <c r="D10" t="s">
        <v>152</v>
      </c>
      <c r="E10">
        <v>36</v>
      </c>
      <c r="F10" t="s">
        <v>37</v>
      </c>
      <c r="G10" t="s">
        <v>34</v>
      </c>
      <c r="H10">
        <v>1</v>
      </c>
    </row>
    <row r="11" spans="1:9" x14ac:dyDescent="0.35">
      <c r="A11">
        <v>10</v>
      </c>
      <c r="B11">
        <v>0</v>
      </c>
      <c r="C11">
        <v>6</v>
      </c>
      <c r="D11" t="s">
        <v>153</v>
      </c>
      <c r="E11">
        <v>41</v>
      </c>
      <c r="F11" t="s">
        <v>37</v>
      </c>
      <c r="G11" t="s">
        <v>450</v>
      </c>
      <c r="H11">
        <v>1</v>
      </c>
      <c r="I11" t="s">
        <v>39</v>
      </c>
    </row>
    <row r="12" spans="1:9" x14ac:dyDescent="0.35">
      <c r="A12">
        <v>11</v>
      </c>
      <c r="B12">
        <v>0</v>
      </c>
      <c r="C12">
        <v>6</v>
      </c>
      <c r="D12" t="s">
        <v>154</v>
      </c>
      <c r="E12">
        <v>41</v>
      </c>
      <c r="F12" t="s">
        <v>32</v>
      </c>
      <c r="G12" t="s">
        <v>33</v>
      </c>
      <c r="H12">
        <v>1</v>
      </c>
    </row>
    <row r="13" spans="1:9" x14ac:dyDescent="0.35">
      <c r="A13">
        <v>12</v>
      </c>
      <c r="B13">
        <v>0</v>
      </c>
      <c r="C13">
        <v>7</v>
      </c>
      <c r="D13" t="s">
        <v>155</v>
      </c>
      <c r="E13">
        <v>30</v>
      </c>
      <c r="F13" t="s">
        <v>32</v>
      </c>
      <c r="G13" t="s">
        <v>33</v>
      </c>
      <c r="H13">
        <v>1</v>
      </c>
    </row>
    <row r="14" spans="1:9" x14ac:dyDescent="0.35">
      <c r="A14">
        <v>13</v>
      </c>
      <c r="B14">
        <v>0</v>
      </c>
      <c r="C14">
        <v>7</v>
      </c>
      <c r="D14" t="s">
        <v>156</v>
      </c>
      <c r="E14">
        <v>37</v>
      </c>
      <c r="F14" t="s">
        <v>37</v>
      </c>
      <c r="G14" t="s">
        <v>34</v>
      </c>
      <c r="H14">
        <v>1</v>
      </c>
    </row>
    <row r="15" spans="1:9" x14ac:dyDescent="0.35">
      <c r="A15">
        <v>14</v>
      </c>
      <c r="B15">
        <v>0</v>
      </c>
      <c r="C15">
        <v>8</v>
      </c>
      <c r="D15" t="s">
        <v>157</v>
      </c>
      <c r="E15">
        <v>23</v>
      </c>
      <c r="F15" t="s">
        <v>32</v>
      </c>
      <c r="G15" t="s">
        <v>34</v>
      </c>
      <c r="H15">
        <v>1</v>
      </c>
    </row>
    <row r="16" spans="1:9" x14ac:dyDescent="0.35">
      <c r="A16">
        <v>15</v>
      </c>
      <c r="B16">
        <v>0</v>
      </c>
      <c r="C16">
        <v>9</v>
      </c>
      <c r="D16" t="s">
        <v>158</v>
      </c>
      <c r="E16">
        <v>15</v>
      </c>
      <c r="F16" t="s">
        <v>32</v>
      </c>
      <c r="G16" t="s">
        <v>33</v>
      </c>
      <c r="H16">
        <v>1</v>
      </c>
    </row>
    <row r="17" spans="1:9" x14ac:dyDescent="0.35">
      <c r="A17">
        <v>16</v>
      </c>
      <c r="B17">
        <v>0</v>
      </c>
      <c r="C17">
        <v>9</v>
      </c>
      <c r="D17" t="s">
        <v>159</v>
      </c>
      <c r="E17">
        <v>16</v>
      </c>
      <c r="F17" t="s">
        <v>37</v>
      </c>
      <c r="G17" t="s">
        <v>34</v>
      </c>
      <c r="H17">
        <v>1</v>
      </c>
    </row>
    <row r="18" spans="1:9" x14ac:dyDescent="0.35">
      <c r="A18">
        <v>17</v>
      </c>
      <c r="B18">
        <v>0</v>
      </c>
      <c r="C18">
        <v>10</v>
      </c>
      <c r="D18" t="s">
        <v>161</v>
      </c>
      <c r="E18">
        <v>43</v>
      </c>
      <c r="F18" t="s">
        <v>40</v>
      </c>
      <c r="G18" t="s">
        <v>450</v>
      </c>
      <c r="H18">
        <v>1</v>
      </c>
      <c r="I18" t="s">
        <v>41</v>
      </c>
    </row>
    <row r="19" spans="1:9" x14ac:dyDescent="0.35">
      <c r="A19">
        <v>18</v>
      </c>
      <c r="B19">
        <v>0</v>
      </c>
      <c r="C19">
        <v>10</v>
      </c>
      <c r="D19" t="s">
        <v>160</v>
      </c>
      <c r="E19">
        <v>60</v>
      </c>
      <c r="F19" t="s">
        <v>40</v>
      </c>
      <c r="G19" t="s">
        <v>450</v>
      </c>
      <c r="H19">
        <v>1</v>
      </c>
    </row>
    <row r="20" spans="1:9" x14ac:dyDescent="0.35">
      <c r="A20">
        <v>19</v>
      </c>
      <c r="B20">
        <v>2</v>
      </c>
      <c r="C20">
        <v>5</v>
      </c>
      <c r="D20" t="s">
        <v>162</v>
      </c>
      <c r="E20">
        <v>26</v>
      </c>
      <c r="F20" t="s">
        <v>32</v>
      </c>
      <c r="G20" t="s">
        <v>34</v>
      </c>
      <c r="H20">
        <v>1</v>
      </c>
    </row>
    <row r="21" spans="1:9" x14ac:dyDescent="0.35">
      <c r="A21">
        <v>20</v>
      </c>
      <c r="B21">
        <v>2</v>
      </c>
      <c r="C21">
        <v>5</v>
      </c>
      <c r="D21" t="s">
        <v>180</v>
      </c>
      <c r="E21">
        <v>26</v>
      </c>
      <c r="F21" t="s">
        <v>32</v>
      </c>
      <c r="G21" t="s">
        <v>450</v>
      </c>
      <c r="H21">
        <v>0</v>
      </c>
    </row>
    <row r="22" spans="1:9" x14ac:dyDescent="0.35">
      <c r="A22">
        <v>21</v>
      </c>
      <c r="B22">
        <v>5</v>
      </c>
      <c r="C22">
        <v>2</v>
      </c>
      <c r="D22" t="s">
        <v>163</v>
      </c>
      <c r="E22">
        <v>26</v>
      </c>
      <c r="F22" t="s">
        <v>32</v>
      </c>
      <c r="G22" t="s">
        <v>450</v>
      </c>
      <c r="H22">
        <v>0</v>
      </c>
    </row>
    <row r="23" spans="1:9" x14ac:dyDescent="0.35">
      <c r="A23">
        <v>22</v>
      </c>
      <c r="B23">
        <v>1</v>
      </c>
      <c r="C23">
        <v>5</v>
      </c>
      <c r="D23" t="s">
        <v>164</v>
      </c>
      <c r="E23">
        <v>30</v>
      </c>
      <c r="F23" t="s">
        <v>32</v>
      </c>
      <c r="G23" t="s">
        <v>33</v>
      </c>
      <c r="H23">
        <v>1</v>
      </c>
    </row>
    <row r="24" spans="1:9" x14ac:dyDescent="0.35">
      <c r="A24">
        <v>23</v>
      </c>
      <c r="B24">
        <v>1</v>
      </c>
      <c r="C24">
        <v>5</v>
      </c>
      <c r="D24" t="s">
        <v>165</v>
      </c>
      <c r="E24">
        <v>28</v>
      </c>
      <c r="F24" t="s">
        <v>32</v>
      </c>
      <c r="G24" t="s">
        <v>33</v>
      </c>
      <c r="H24">
        <v>1</v>
      </c>
    </row>
    <row r="25" spans="1:9" x14ac:dyDescent="0.35">
      <c r="A25">
        <v>24</v>
      </c>
      <c r="B25">
        <v>1</v>
      </c>
      <c r="C25">
        <v>5</v>
      </c>
      <c r="D25" t="s">
        <v>166</v>
      </c>
      <c r="E25">
        <v>31</v>
      </c>
      <c r="F25" t="s">
        <v>32</v>
      </c>
      <c r="G25" t="s">
        <v>34</v>
      </c>
      <c r="H25">
        <v>1</v>
      </c>
    </row>
    <row r="26" spans="1:9" x14ac:dyDescent="0.35">
      <c r="A26">
        <v>25</v>
      </c>
      <c r="B26">
        <v>3</v>
      </c>
      <c r="C26">
        <v>4</v>
      </c>
      <c r="D26" t="s">
        <v>155</v>
      </c>
      <c r="E26">
        <v>25</v>
      </c>
      <c r="F26" t="s">
        <v>32</v>
      </c>
      <c r="G26" t="s">
        <v>33</v>
      </c>
      <c r="H26">
        <v>0</v>
      </c>
      <c r="I26" t="s">
        <v>42</v>
      </c>
    </row>
    <row r="27" spans="1:9" x14ac:dyDescent="0.35">
      <c r="A27">
        <v>26</v>
      </c>
      <c r="B27">
        <v>3</v>
      </c>
      <c r="C27">
        <v>4</v>
      </c>
      <c r="D27" t="s">
        <v>167</v>
      </c>
      <c r="E27">
        <v>31</v>
      </c>
      <c r="F27" t="s">
        <v>32</v>
      </c>
      <c r="G27" t="s">
        <v>34</v>
      </c>
      <c r="H27">
        <v>0</v>
      </c>
    </row>
    <row r="28" spans="1:9" x14ac:dyDescent="0.35">
      <c r="A28">
        <v>27</v>
      </c>
      <c r="B28">
        <v>4</v>
      </c>
      <c r="C28">
        <v>3</v>
      </c>
      <c r="D28" t="s">
        <v>168</v>
      </c>
      <c r="E28">
        <v>25</v>
      </c>
      <c r="F28" t="s">
        <v>32</v>
      </c>
      <c r="G28" t="s">
        <v>33</v>
      </c>
      <c r="H28">
        <v>0</v>
      </c>
    </row>
    <row r="29" spans="1:9" x14ac:dyDescent="0.35">
      <c r="A29">
        <v>28</v>
      </c>
      <c r="B29">
        <v>4</v>
      </c>
      <c r="C29">
        <v>3</v>
      </c>
      <c r="D29" t="s">
        <v>169</v>
      </c>
      <c r="E29">
        <v>27</v>
      </c>
      <c r="F29" t="s">
        <v>32</v>
      </c>
      <c r="G29" t="s">
        <v>34</v>
      </c>
      <c r="H29">
        <v>0</v>
      </c>
    </row>
    <row r="30" spans="1:9" x14ac:dyDescent="0.35">
      <c r="A30">
        <v>29</v>
      </c>
      <c r="B30">
        <v>4</v>
      </c>
      <c r="C30">
        <v>3</v>
      </c>
      <c r="D30" t="s">
        <v>170</v>
      </c>
      <c r="E30">
        <v>24</v>
      </c>
      <c r="F30" t="s">
        <v>32</v>
      </c>
      <c r="G30" t="s">
        <v>34</v>
      </c>
      <c r="H30">
        <v>0</v>
      </c>
    </row>
    <row r="31" spans="1:9" x14ac:dyDescent="0.35">
      <c r="A31">
        <v>30</v>
      </c>
      <c r="B31">
        <v>3</v>
      </c>
      <c r="C31">
        <v>7</v>
      </c>
      <c r="D31" t="s">
        <v>171</v>
      </c>
      <c r="E31">
        <v>21</v>
      </c>
      <c r="F31" t="s">
        <v>32</v>
      </c>
      <c r="G31" t="s">
        <v>33</v>
      </c>
      <c r="H31">
        <v>1</v>
      </c>
    </row>
    <row r="32" spans="1:9" x14ac:dyDescent="0.35">
      <c r="A32">
        <v>31</v>
      </c>
      <c r="B32">
        <v>3</v>
      </c>
      <c r="C32">
        <v>7</v>
      </c>
      <c r="D32" t="s">
        <v>172</v>
      </c>
      <c r="E32">
        <v>22</v>
      </c>
      <c r="F32" t="s">
        <v>32</v>
      </c>
      <c r="G32" t="s">
        <v>34</v>
      </c>
      <c r="H32">
        <v>0</v>
      </c>
    </row>
    <row r="33" spans="1:8" x14ac:dyDescent="0.35">
      <c r="A33">
        <v>32</v>
      </c>
      <c r="B33">
        <v>7</v>
      </c>
      <c r="C33">
        <v>3</v>
      </c>
      <c r="D33" t="s">
        <v>173</v>
      </c>
      <c r="E33">
        <v>19</v>
      </c>
      <c r="F33" t="s">
        <v>40</v>
      </c>
      <c r="G33" t="s">
        <v>450</v>
      </c>
      <c r="H33">
        <v>0</v>
      </c>
    </row>
    <row r="34" spans="1:8" x14ac:dyDescent="0.35">
      <c r="A34">
        <v>33</v>
      </c>
      <c r="B34">
        <v>7</v>
      </c>
      <c r="C34">
        <v>6</v>
      </c>
      <c r="D34" t="s">
        <v>174</v>
      </c>
      <c r="E34">
        <v>22</v>
      </c>
      <c r="F34" t="s">
        <v>40</v>
      </c>
      <c r="G34" t="s">
        <v>450</v>
      </c>
      <c r="H34">
        <v>0</v>
      </c>
    </row>
    <row r="35" spans="1:8" x14ac:dyDescent="0.35">
      <c r="A35">
        <v>34</v>
      </c>
      <c r="B35">
        <v>6</v>
      </c>
      <c r="C35">
        <v>7</v>
      </c>
      <c r="D35" t="s">
        <v>175</v>
      </c>
      <c r="E35">
        <v>22</v>
      </c>
      <c r="F35" t="s">
        <v>40</v>
      </c>
      <c r="G35" t="s">
        <v>450</v>
      </c>
      <c r="H35">
        <v>0</v>
      </c>
    </row>
    <row r="36" spans="1:8" x14ac:dyDescent="0.35">
      <c r="A36">
        <v>35</v>
      </c>
      <c r="B36">
        <v>7</v>
      </c>
      <c r="C36">
        <v>6</v>
      </c>
      <c r="D36" t="s">
        <v>168</v>
      </c>
      <c r="E36">
        <v>40</v>
      </c>
      <c r="F36" t="s">
        <v>37</v>
      </c>
      <c r="G36" t="s">
        <v>33</v>
      </c>
      <c r="H36">
        <v>1</v>
      </c>
    </row>
    <row r="37" spans="1:8" x14ac:dyDescent="0.35">
      <c r="A37">
        <v>36</v>
      </c>
      <c r="B37">
        <v>8</v>
      </c>
      <c r="C37">
        <v>9</v>
      </c>
      <c r="D37" t="s">
        <v>176</v>
      </c>
      <c r="E37">
        <v>14</v>
      </c>
      <c r="F37" t="s">
        <v>32</v>
      </c>
      <c r="G37" t="s">
        <v>33</v>
      </c>
      <c r="H37">
        <v>1</v>
      </c>
    </row>
    <row r="38" spans="1:8" x14ac:dyDescent="0.35">
      <c r="A38">
        <v>37</v>
      </c>
      <c r="B38">
        <v>9</v>
      </c>
      <c r="C38">
        <v>4</v>
      </c>
      <c r="D38" t="s">
        <v>177</v>
      </c>
      <c r="E38">
        <v>27</v>
      </c>
      <c r="F38" t="s">
        <v>32</v>
      </c>
      <c r="G38" t="s">
        <v>33</v>
      </c>
      <c r="H38">
        <v>0</v>
      </c>
    </row>
    <row r="39" spans="1:8" x14ac:dyDescent="0.35">
      <c r="A39">
        <v>38</v>
      </c>
      <c r="B39">
        <v>4</v>
      </c>
      <c r="C39">
        <v>9</v>
      </c>
      <c r="D39" t="s">
        <v>165</v>
      </c>
      <c r="E39">
        <v>23</v>
      </c>
      <c r="F39" t="s">
        <v>32</v>
      </c>
      <c r="G39" t="s">
        <v>33</v>
      </c>
      <c r="H39">
        <v>0</v>
      </c>
    </row>
    <row r="40" spans="1:8" x14ac:dyDescent="0.35">
      <c r="A40">
        <v>39</v>
      </c>
      <c r="B40">
        <v>9</v>
      </c>
      <c r="C40">
        <v>4</v>
      </c>
      <c r="D40" t="s">
        <v>177</v>
      </c>
      <c r="E40">
        <v>31</v>
      </c>
      <c r="F40" t="s">
        <v>32</v>
      </c>
      <c r="G40" t="s">
        <v>34</v>
      </c>
      <c r="H40">
        <v>1</v>
      </c>
    </row>
    <row r="41" spans="1:8" x14ac:dyDescent="0.35">
      <c r="A41">
        <v>40</v>
      </c>
      <c r="B41">
        <v>4</v>
      </c>
      <c r="C41">
        <v>6</v>
      </c>
      <c r="D41" t="s">
        <v>178</v>
      </c>
      <c r="E41">
        <v>52</v>
      </c>
      <c r="F41" t="s">
        <v>32</v>
      </c>
      <c r="G41" t="s">
        <v>33</v>
      </c>
      <c r="H41">
        <v>1</v>
      </c>
    </row>
    <row r="42" spans="1:8" x14ac:dyDescent="0.35">
      <c r="A42">
        <v>41</v>
      </c>
      <c r="B42">
        <v>4</v>
      </c>
      <c r="C42">
        <v>6</v>
      </c>
      <c r="D42" t="s">
        <v>177</v>
      </c>
      <c r="E42">
        <v>52</v>
      </c>
      <c r="F42" t="s">
        <v>32</v>
      </c>
      <c r="G42" t="s">
        <v>34</v>
      </c>
      <c r="H42">
        <v>0</v>
      </c>
    </row>
    <row r="43" spans="1:8" x14ac:dyDescent="0.35">
      <c r="A43">
        <v>42</v>
      </c>
      <c r="B43">
        <v>6</v>
      </c>
      <c r="C43">
        <v>4</v>
      </c>
      <c r="D43" t="s">
        <v>179</v>
      </c>
      <c r="E43">
        <v>47</v>
      </c>
      <c r="F43" t="s">
        <v>32</v>
      </c>
      <c r="G43" t="s">
        <v>34</v>
      </c>
      <c r="H43">
        <v>0</v>
      </c>
    </row>
    <row r="44" spans="1:8" x14ac:dyDescent="0.35">
      <c r="A44">
        <v>43</v>
      </c>
      <c r="B44">
        <v>1</v>
      </c>
      <c r="C44">
        <v>2</v>
      </c>
      <c r="D44" t="s">
        <v>166</v>
      </c>
      <c r="E44">
        <v>17</v>
      </c>
      <c r="F44" t="s">
        <v>32</v>
      </c>
      <c r="G44" t="s">
        <v>34</v>
      </c>
      <c r="H44">
        <v>1</v>
      </c>
    </row>
    <row r="45" spans="1:8" x14ac:dyDescent="0.35">
      <c r="A45">
        <v>44</v>
      </c>
      <c r="B45">
        <v>1</v>
      </c>
      <c r="C45">
        <v>2</v>
      </c>
      <c r="D45" t="s">
        <v>172</v>
      </c>
      <c r="E45">
        <v>16</v>
      </c>
      <c r="F45" t="s">
        <v>32</v>
      </c>
      <c r="G45" t="s">
        <v>33</v>
      </c>
      <c r="H45">
        <v>1</v>
      </c>
    </row>
    <row r="46" spans="1:8" x14ac:dyDescent="0.35">
      <c r="A46">
        <v>45</v>
      </c>
      <c r="B46">
        <v>2</v>
      </c>
      <c r="C46">
        <v>4</v>
      </c>
      <c r="D46" t="s">
        <v>223</v>
      </c>
      <c r="E46">
        <v>32</v>
      </c>
      <c r="F46" t="s">
        <v>32</v>
      </c>
      <c r="G46" t="s">
        <v>34</v>
      </c>
      <c r="H46">
        <v>1</v>
      </c>
    </row>
    <row r="47" spans="1:8" x14ac:dyDescent="0.35">
      <c r="A47">
        <v>46</v>
      </c>
      <c r="B47">
        <v>1</v>
      </c>
      <c r="C47">
        <v>4</v>
      </c>
      <c r="D47" t="s">
        <v>223</v>
      </c>
      <c r="E47">
        <v>31</v>
      </c>
      <c r="F47" t="s">
        <v>32</v>
      </c>
      <c r="G47" t="s">
        <v>34</v>
      </c>
      <c r="H47">
        <v>1</v>
      </c>
    </row>
    <row r="48" spans="1:8" x14ac:dyDescent="0.35">
      <c r="A48">
        <v>47</v>
      </c>
      <c r="B48">
        <v>6</v>
      </c>
      <c r="C48">
        <v>9</v>
      </c>
      <c r="D48" t="s">
        <v>225</v>
      </c>
      <c r="E48">
        <v>33</v>
      </c>
      <c r="F48" t="s">
        <v>32</v>
      </c>
      <c r="G48" t="s">
        <v>34</v>
      </c>
      <c r="H48">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2D3-D93A-4ACE-A06D-2BBE16811ECD}">
  <dimension ref="A1:L33"/>
  <sheetViews>
    <sheetView topLeftCell="A21" zoomScale="83" workbookViewId="0">
      <selection activeCell="F32" sqref="F32"/>
    </sheetView>
  </sheetViews>
  <sheetFormatPr baseColWidth="10" defaultRowHeight="14.5" x14ac:dyDescent="0.35"/>
  <cols>
    <col min="2" max="2" width="18.26953125" customWidth="1"/>
    <col min="3" max="3" width="18.90625" customWidth="1"/>
    <col min="4" max="4" width="16.26953125" customWidth="1"/>
    <col min="5" max="5" width="24.54296875" customWidth="1"/>
    <col min="6" max="6" width="21" customWidth="1"/>
    <col min="7" max="7" width="18.26953125" customWidth="1"/>
    <col min="8" max="8" width="23.08984375" customWidth="1"/>
    <col min="9" max="9" width="20.08984375" customWidth="1"/>
  </cols>
  <sheetData>
    <row r="1" spans="1:12" x14ac:dyDescent="0.35">
      <c r="A1" t="s">
        <v>43</v>
      </c>
      <c r="B1" t="s">
        <v>44</v>
      </c>
      <c r="C1" t="s">
        <v>45</v>
      </c>
      <c r="D1" t="s">
        <v>46</v>
      </c>
      <c r="E1" t="s">
        <v>47</v>
      </c>
      <c r="F1" t="s">
        <v>48</v>
      </c>
      <c r="G1" t="s">
        <v>49</v>
      </c>
      <c r="H1" t="s">
        <v>79</v>
      </c>
      <c r="J1" t="s">
        <v>59</v>
      </c>
      <c r="L1" t="s">
        <v>58</v>
      </c>
    </row>
    <row r="2" spans="1:12" x14ac:dyDescent="0.35">
      <c r="A2">
        <v>1</v>
      </c>
      <c r="B2">
        <v>8</v>
      </c>
      <c r="C2">
        <v>0</v>
      </c>
      <c r="D2" t="s">
        <v>104</v>
      </c>
      <c r="E2" t="s">
        <v>190</v>
      </c>
      <c r="F2" t="s">
        <v>7</v>
      </c>
      <c r="G2">
        <v>20000</v>
      </c>
      <c r="H2">
        <v>25</v>
      </c>
    </row>
    <row r="3" spans="1:12" x14ac:dyDescent="0.35">
      <c r="A3">
        <v>2</v>
      </c>
      <c r="B3">
        <v>0</v>
      </c>
      <c r="C3">
        <v>2</v>
      </c>
      <c r="D3" t="s">
        <v>89</v>
      </c>
      <c r="E3" t="s">
        <v>90</v>
      </c>
      <c r="F3" t="s">
        <v>6</v>
      </c>
      <c r="G3">
        <v>1600</v>
      </c>
      <c r="H3">
        <v>2</v>
      </c>
    </row>
    <row r="4" spans="1:12" x14ac:dyDescent="0.35">
      <c r="A4">
        <v>3</v>
      </c>
      <c r="B4">
        <v>0</v>
      </c>
      <c r="C4">
        <v>2</v>
      </c>
      <c r="D4" t="s">
        <v>89</v>
      </c>
      <c r="E4" t="s">
        <v>90</v>
      </c>
      <c r="F4" t="s">
        <v>5</v>
      </c>
      <c r="G4">
        <v>2200</v>
      </c>
      <c r="H4">
        <v>3</v>
      </c>
    </row>
    <row r="5" spans="1:12" x14ac:dyDescent="0.35">
      <c r="A5">
        <v>4</v>
      </c>
      <c r="B5">
        <v>0</v>
      </c>
      <c r="C5">
        <v>4</v>
      </c>
      <c r="D5" t="s">
        <v>85</v>
      </c>
      <c r="E5" t="s">
        <v>82</v>
      </c>
      <c r="F5" t="s">
        <v>6</v>
      </c>
      <c r="G5">
        <v>8300</v>
      </c>
      <c r="H5">
        <v>11</v>
      </c>
    </row>
    <row r="6" spans="1:12" x14ac:dyDescent="0.35">
      <c r="A6">
        <v>5</v>
      </c>
      <c r="B6">
        <v>0</v>
      </c>
      <c r="C6">
        <v>6</v>
      </c>
      <c r="D6" t="s">
        <v>80</v>
      </c>
      <c r="E6" t="s">
        <v>200</v>
      </c>
      <c r="F6" t="s">
        <v>5</v>
      </c>
      <c r="G6">
        <v>3000</v>
      </c>
      <c r="H6">
        <v>4</v>
      </c>
      <c r="L6" t="s">
        <v>60</v>
      </c>
    </row>
    <row r="7" spans="1:12" x14ac:dyDescent="0.35">
      <c r="A7">
        <v>6</v>
      </c>
      <c r="B7">
        <v>2</v>
      </c>
      <c r="C7">
        <v>5</v>
      </c>
      <c r="D7" t="s">
        <v>137</v>
      </c>
      <c r="E7" t="s">
        <v>138</v>
      </c>
      <c r="F7" t="s">
        <v>5</v>
      </c>
      <c r="G7">
        <v>1500</v>
      </c>
      <c r="H7">
        <v>2</v>
      </c>
      <c r="L7" t="s">
        <v>61</v>
      </c>
    </row>
    <row r="8" spans="1:12" x14ac:dyDescent="0.35">
      <c r="A8">
        <v>7</v>
      </c>
      <c r="B8">
        <v>0</v>
      </c>
      <c r="C8">
        <v>5</v>
      </c>
      <c r="D8" t="s">
        <v>81</v>
      </c>
      <c r="E8" t="s">
        <v>95</v>
      </c>
      <c r="F8" t="s">
        <v>7</v>
      </c>
      <c r="G8">
        <v>7000</v>
      </c>
      <c r="H8">
        <v>9</v>
      </c>
      <c r="L8" t="s">
        <v>62</v>
      </c>
    </row>
    <row r="9" spans="1:12" x14ac:dyDescent="0.35">
      <c r="A9">
        <v>8</v>
      </c>
      <c r="B9">
        <v>0</v>
      </c>
      <c r="C9">
        <v>5</v>
      </c>
      <c r="D9" t="s">
        <v>81</v>
      </c>
      <c r="E9" t="s">
        <v>95</v>
      </c>
      <c r="F9" t="s">
        <v>5</v>
      </c>
      <c r="G9">
        <v>2000</v>
      </c>
      <c r="H9">
        <v>3</v>
      </c>
      <c r="L9" t="s">
        <v>63</v>
      </c>
    </row>
    <row r="10" spans="1:12" x14ac:dyDescent="0.35">
      <c r="A10">
        <v>9</v>
      </c>
      <c r="B10">
        <v>4</v>
      </c>
      <c r="C10">
        <v>6</v>
      </c>
      <c r="D10" t="s">
        <v>88</v>
      </c>
      <c r="E10" t="s">
        <v>91</v>
      </c>
      <c r="F10" t="s">
        <v>6</v>
      </c>
      <c r="G10">
        <v>12000</v>
      </c>
      <c r="H10">
        <v>15</v>
      </c>
      <c r="L10" t="s">
        <v>224</v>
      </c>
    </row>
    <row r="11" spans="1:12" x14ac:dyDescent="0.35">
      <c r="A11">
        <v>10</v>
      </c>
      <c r="B11">
        <v>4</v>
      </c>
      <c r="C11">
        <v>6</v>
      </c>
      <c r="D11" t="s">
        <v>88</v>
      </c>
      <c r="E11" t="s">
        <v>91</v>
      </c>
      <c r="F11" t="s">
        <v>7</v>
      </c>
      <c r="G11">
        <v>14400</v>
      </c>
      <c r="H11">
        <v>18</v>
      </c>
      <c r="L11" t="s">
        <v>64</v>
      </c>
    </row>
    <row r="12" spans="1:12" x14ac:dyDescent="0.35">
      <c r="A12">
        <v>11</v>
      </c>
      <c r="B12">
        <v>0</v>
      </c>
      <c r="C12">
        <v>9</v>
      </c>
      <c r="D12" t="s">
        <v>100</v>
      </c>
      <c r="E12" t="s">
        <v>101</v>
      </c>
      <c r="F12" t="s">
        <v>8</v>
      </c>
      <c r="G12">
        <v>600</v>
      </c>
      <c r="H12">
        <v>1</v>
      </c>
    </row>
    <row r="13" spans="1:12" x14ac:dyDescent="0.35">
      <c r="A13">
        <v>12</v>
      </c>
      <c r="B13">
        <v>2</v>
      </c>
      <c r="C13">
        <v>4</v>
      </c>
      <c r="D13" t="s">
        <v>86</v>
      </c>
      <c r="E13" t="s">
        <v>93</v>
      </c>
      <c r="F13" t="s">
        <v>6</v>
      </c>
      <c r="G13">
        <v>6700</v>
      </c>
      <c r="H13">
        <v>8</v>
      </c>
    </row>
    <row r="14" spans="1:12" x14ac:dyDescent="0.35">
      <c r="A14">
        <v>13</v>
      </c>
      <c r="B14">
        <v>0</v>
      </c>
      <c r="C14">
        <v>5</v>
      </c>
      <c r="D14" t="s">
        <v>92</v>
      </c>
      <c r="E14" t="s">
        <v>183</v>
      </c>
      <c r="F14" t="s">
        <v>7</v>
      </c>
      <c r="G14">
        <v>6300</v>
      </c>
      <c r="H14">
        <v>8</v>
      </c>
    </row>
    <row r="15" spans="1:12" x14ac:dyDescent="0.35">
      <c r="A15">
        <v>14</v>
      </c>
      <c r="B15">
        <v>1</v>
      </c>
      <c r="C15">
        <v>2</v>
      </c>
      <c r="D15" t="s">
        <v>83</v>
      </c>
      <c r="E15" t="s">
        <v>50</v>
      </c>
      <c r="F15" t="s">
        <v>5</v>
      </c>
      <c r="G15">
        <v>2600</v>
      </c>
      <c r="H15">
        <v>3</v>
      </c>
    </row>
    <row r="16" spans="1:12" x14ac:dyDescent="0.35">
      <c r="A16">
        <v>15</v>
      </c>
      <c r="B16">
        <v>0</v>
      </c>
      <c r="C16">
        <v>1</v>
      </c>
      <c r="D16" t="s">
        <v>84</v>
      </c>
      <c r="E16" t="s">
        <v>94</v>
      </c>
      <c r="F16" t="s">
        <v>5</v>
      </c>
      <c r="G16">
        <v>1400</v>
      </c>
      <c r="H16">
        <v>2</v>
      </c>
    </row>
    <row r="17" spans="1:8" x14ac:dyDescent="0.35">
      <c r="A17">
        <v>16</v>
      </c>
      <c r="B17">
        <v>0</v>
      </c>
      <c r="C17">
        <v>3</v>
      </c>
      <c r="D17" t="s">
        <v>84</v>
      </c>
      <c r="E17" t="s">
        <v>53</v>
      </c>
      <c r="F17" t="s">
        <v>6</v>
      </c>
      <c r="G17">
        <v>3400</v>
      </c>
      <c r="H17">
        <v>5</v>
      </c>
    </row>
    <row r="18" spans="1:8" x14ac:dyDescent="0.35">
      <c r="A18">
        <v>17</v>
      </c>
      <c r="B18">
        <v>1</v>
      </c>
      <c r="C18">
        <v>3</v>
      </c>
      <c r="D18" t="s">
        <v>82</v>
      </c>
      <c r="E18" t="s">
        <v>52</v>
      </c>
      <c r="F18" t="s">
        <v>6</v>
      </c>
      <c r="G18">
        <v>3200</v>
      </c>
      <c r="H18">
        <v>4</v>
      </c>
    </row>
    <row r="19" spans="1:8" x14ac:dyDescent="0.35">
      <c r="A19">
        <v>18</v>
      </c>
      <c r="B19">
        <v>1</v>
      </c>
      <c r="C19">
        <v>4</v>
      </c>
      <c r="D19" t="s">
        <v>82</v>
      </c>
      <c r="E19" t="s">
        <v>52</v>
      </c>
      <c r="F19" t="s">
        <v>6</v>
      </c>
      <c r="G19">
        <v>2500</v>
      </c>
      <c r="H19">
        <v>3</v>
      </c>
    </row>
    <row r="20" spans="1:8" x14ac:dyDescent="0.35">
      <c r="A20">
        <v>19</v>
      </c>
      <c r="B20">
        <v>3</v>
      </c>
      <c r="C20">
        <v>4</v>
      </c>
      <c r="D20" t="s">
        <v>87</v>
      </c>
      <c r="E20" t="s">
        <v>54</v>
      </c>
      <c r="F20" t="s">
        <v>6</v>
      </c>
      <c r="G20">
        <v>2000</v>
      </c>
      <c r="H20">
        <v>3</v>
      </c>
    </row>
    <row r="21" spans="1:8" x14ac:dyDescent="0.35">
      <c r="A21">
        <v>20</v>
      </c>
      <c r="B21">
        <v>0</v>
      </c>
      <c r="C21">
        <v>6</v>
      </c>
      <c r="D21" t="s">
        <v>56</v>
      </c>
      <c r="E21" t="s">
        <v>57</v>
      </c>
      <c r="F21" t="s">
        <v>7</v>
      </c>
      <c r="G21">
        <v>8000</v>
      </c>
      <c r="H21">
        <v>10</v>
      </c>
    </row>
    <row r="22" spans="1:8" x14ac:dyDescent="0.35">
      <c r="A22">
        <v>21</v>
      </c>
      <c r="B22">
        <v>3</v>
      </c>
      <c r="C22">
        <v>7</v>
      </c>
      <c r="D22" t="s">
        <v>73</v>
      </c>
      <c r="E22" t="s">
        <v>74</v>
      </c>
      <c r="F22" t="s">
        <v>6</v>
      </c>
      <c r="G22">
        <v>1600</v>
      </c>
      <c r="H22">
        <v>2</v>
      </c>
    </row>
    <row r="23" spans="1:8" x14ac:dyDescent="0.35">
      <c r="A23">
        <v>22</v>
      </c>
      <c r="B23">
        <v>0</v>
      </c>
      <c r="C23">
        <v>2</v>
      </c>
      <c r="D23" t="s">
        <v>66</v>
      </c>
      <c r="E23" t="s">
        <v>67</v>
      </c>
      <c r="F23" t="s">
        <v>5</v>
      </c>
      <c r="G23">
        <v>700</v>
      </c>
      <c r="H23">
        <v>1</v>
      </c>
    </row>
    <row r="24" spans="1:8" x14ac:dyDescent="0.35">
      <c r="A24">
        <v>23</v>
      </c>
      <c r="B24">
        <v>0</v>
      </c>
      <c r="C24">
        <v>7</v>
      </c>
      <c r="D24" t="s">
        <v>68</v>
      </c>
      <c r="E24" t="s">
        <v>69</v>
      </c>
      <c r="F24" t="s">
        <v>7</v>
      </c>
      <c r="G24">
        <v>3800</v>
      </c>
      <c r="H24">
        <v>5</v>
      </c>
    </row>
    <row r="25" spans="1:8" x14ac:dyDescent="0.35">
      <c r="A25">
        <v>24</v>
      </c>
      <c r="B25">
        <v>8</v>
      </c>
      <c r="C25">
        <v>0</v>
      </c>
      <c r="D25" t="s">
        <v>75</v>
      </c>
      <c r="E25" t="s">
        <v>76</v>
      </c>
      <c r="F25" t="s">
        <v>7</v>
      </c>
      <c r="G25">
        <v>20000</v>
      </c>
      <c r="H25">
        <v>25</v>
      </c>
    </row>
    <row r="26" spans="1:8" x14ac:dyDescent="0.35">
      <c r="A26">
        <v>25</v>
      </c>
      <c r="B26">
        <v>0</v>
      </c>
      <c r="C26">
        <v>5</v>
      </c>
      <c r="D26" t="s">
        <v>109</v>
      </c>
      <c r="E26" t="s">
        <v>110</v>
      </c>
      <c r="F26" t="s">
        <v>7</v>
      </c>
      <c r="G26">
        <v>1400</v>
      </c>
      <c r="H26">
        <v>2</v>
      </c>
    </row>
    <row r="27" spans="1:8" x14ac:dyDescent="0.35">
      <c r="A27">
        <v>26</v>
      </c>
      <c r="B27">
        <v>0</v>
      </c>
      <c r="C27">
        <v>6</v>
      </c>
      <c r="D27" t="s">
        <v>77</v>
      </c>
      <c r="E27" t="s">
        <v>78</v>
      </c>
      <c r="F27" t="s">
        <v>7</v>
      </c>
      <c r="G27">
        <v>700</v>
      </c>
      <c r="H27">
        <v>1</v>
      </c>
    </row>
    <row r="28" spans="1:8" x14ac:dyDescent="0.35">
      <c r="A28">
        <v>27</v>
      </c>
      <c r="B28">
        <v>0</v>
      </c>
      <c r="C28">
        <v>10</v>
      </c>
      <c r="D28" t="s">
        <v>105</v>
      </c>
      <c r="E28" t="s">
        <v>106</v>
      </c>
      <c r="F28" t="s">
        <v>9</v>
      </c>
      <c r="G28">
        <v>300</v>
      </c>
      <c r="H28">
        <v>1</v>
      </c>
    </row>
    <row r="29" spans="1:8" x14ac:dyDescent="0.35">
      <c r="A29">
        <v>28</v>
      </c>
      <c r="B29">
        <v>0</v>
      </c>
      <c r="C29">
        <v>7</v>
      </c>
      <c r="D29" t="s">
        <v>97</v>
      </c>
      <c r="E29" t="s">
        <v>96</v>
      </c>
      <c r="F29" t="s">
        <v>7</v>
      </c>
      <c r="G29">
        <v>2200</v>
      </c>
      <c r="H29">
        <v>3</v>
      </c>
    </row>
    <row r="30" spans="1:8" x14ac:dyDescent="0.35">
      <c r="A30">
        <v>29</v>
      </c>
      <c r="B30">
        <v>0</v>
      </c>
      <c r="C30">
        <v>9</v>
      </c>
      <c r="D30" t="s">
        <v>98</v>
      </c>
      <c r="E30" t="s">
        <v>99</v>
      </c>
      <c r="F30" t="s">
        <v>8</v>
      </c>
      <c r="G30">
        <v>3300</v>
      </c>
      <c r="H30">
        <v>4</v>
      </c>
    </row>
    <row r="31" spans="1:8" x14ac:dyDescent="0.35">
      <c r="A31">
        <v>30</v>
      </c>
      <c r="B31">
        <v>0</v>
      </c>
      <c r="C31">
        <v>2</v>
      </c>
      <c r="D31" t="s">
        <v>111</v>
      </c>
      <c r="E31" t="s">
        <v>112</v>
      </c>
      <c r="F31" t="s">
        <v>5</v>
      </c>
      <c r="G31">
        <v>1500</v>
      </c>
      <c r="H31">
        <v>2</v>
      </c>
    </row>
    <row r="32" spans="1:8" x14ac:dyDescent="0.35">
      <c r="A32">
        <v>31</v>
      </c>
      <c r="B32">
        <v>4</v>
      </c>
      <c r="C32">
        <v>9</v>
      </c>
      <c r="D32" t="s">
        <v>102</v>
      </c>
      <c r="E32" t="s">
        <v>103</v>
      </c>
      <c r="F32" t="s">
        <v>8</v>
      </c>
      <c r="G32">
        <v>1800</v>
      </c>
      <c r="H32">
        <v>2</v>
      </c>
    </row>
    <row r="33" spans="1:8" x14ac:dyDescent="0.35">
      <c r="A33">
        <v>32</v>
      </c>
      <c r="B33">
        <v>6</v>
      </c>
      <c r="C33">
        <v>9</v>
      </c>
      <c r="D33" t="s">
        <v>107</v>
      </c>
      <c r="E33" t="s">
        <v>108</v>
      </c>
      <c r="F33" t="s">
        <v>8</v>
      </c>
      <c r="G33">
        <v>1700</v>
      </c>
      <c r="H33">
        <v>2</v>
      </c>
    </row>
  </sheetData>
  <autoFilter ref="A1:L32" xr:uid="{028AB2D3-D93A-4ACE-A06D-2BBE16811ECD}">
    <sortState xmlns:xlrd2="http://schemas.microsoft.com/office/spreadsheetml/2017/richdata2" ref="A2:L33">
      <sortCondition ref="D1:D32"/>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684-4FC7-4F01-8D9A-759AA77B919D}">
  <dimension ref="A1:H113"/>
  <sheetViews>
    <sheetView topLeftCell="B97" workbookViewId="0">
      <selection activeCell="C113" sqref="C113"/>
    </sheetView>
  </sheetViews>
  <sheetFormatPr baseColWidth="10" defaultRowHeight="14.5" x14ac:dyDescent="0.35"/>
  <cols>
    <col min="1" max="1" width="20.08984375" customWidth="1"/>
    <col min="2" max="2" width="20.36328125" customWidth="1"/>
    <col min="3" max="3" width="25.1796875" customWidth="1"/>
    <col min="4" max="4" width="28.6328125" customWidth="1"/>
    <col min="5" max="5" width="38.26953125" customWidth="1"/>
    <col min="6" max="6" width="79.54296875" customWidth="1"/>
    <col min="7" max="7" width="42.90625" customWidth="1"/>
  </cols>
  <sheetData>
    <row r="1" spans="1:8" x14ac:dyDescent="0.35">
      <c r="A1" s="8" t="s">
        <v>228</v>
      </c>
      <c r="B1" s="8"/>
      <c r="C1" s="8"/>
      <c r="D1" t="s">
        <v>469</v>
      </c>
      <c r="E1" t="s">
        <v>227</v>
      </c>
      <c r="F1" t="s">
        <v>226</v>
      </c>
      <c r="G1" t="s">
        <v>233</v>
      </c>
      <c r="H1" t="s">
        <v>306</v>
      </c>
    </row>
    <row r="2" spans="1:8" x14ac:dyDescent="0.35">
      <c r="A2" t="s">
        <v>240</v>
      </c>
      <c r="B2" t="s">
        <v>242</v>
      </c>
      <c r="D2" t="s">
        <v>243</v>
      </c>
      <c r="E2" t="s">
        <v>244</v>
      </c>
      <c r="F2" t="s">
        <v>245</v>
      </c>
      <c r="G2" t="s">
        <v>246</v>
      </c>
    </row>
    <row r="3" spans="1:8" x14ac:dyDescent="0.35">
      <c r="D3" t="s">
        <v>247</v>
      </c>
      <c r="E3" t="s">
        <v>248</v>
      </c>
      <c r="F3" t="s">
        <v>249</v>
      </c>
      <c r="G3" t="s">
        <v>246</v>
      </c>
    </row>
    <row r="4" spans="1:8" x14ac:dyDescent="0.35">
      <c r="D4" t="s">
        <v>250</v>
      </c>
      <c r="E4" t="s">
        <v>251</v>
      </c>
      <c r="F4" t="s">
        <v>252</v>
      </c>
      <c r="G4" t="s">
        <v>246</v>
      </c>
    </row>
    <row r="5" spans="1:8" x14ac:dyDescent="0.35">
      <c r="D5" t="s">
        <v>253</v>
      </c>
      <c r="E5" t="s">
        <v>254</v>
      </c>
      <c r="F5" t="s">
        <v>255</v>
      </c>
      <c r="G5" t="s">
        <v>246</v>
      </c>
    </row>
    <row r="6" spans="1:8" x14ac:dyDescent="0.35">
      <c r="D6" t="s">
        <v>277</v>
      </c>
      <c r="F6" t="s">
        <v>278</v>
      </c>
    </row>
    <row r="7" spans="1:8" x14ac:dyDescent="0.35">
      <c r="D7" t="s">
        <v>425</v>
      </c>
      <c r="E7" t="s">
        <v>426</v>
      </c>
      <c r="F7" t="s">
        <v>428</v>
      </c>
      <c r="G7" t="s">
        <v>427</v>
      </c>
      <c r="H7">
        <v>1440</v>
      </c>
    </row>
    <row r="9" spans="1:8" x14ac:dyDescent="0.35">
      <c r="B9" t="s">
        <v>521</v>
      </c>
      <c r="C9" t="s">
        <v>241</v>
      </c>
      <c r="D9" t="s">
        <v>282</v>
      </c>
      <c r="E9" t="s">
        <v>283</v>
      </c>
      <c r="F9" t="s">
        <v>284</v>
      </c>
      <c r="G9" t="s">
        <v>234</v>
      </c>
    </row>
    <row r="11" spans="1:8" x14ac:dyDescent="0.35">
      <c r="C11" t="s">
        <v>256</v>
      </c>
      <c r="D11" t="s">
        <v>285</v>
      </c>
      <c r="E11" t="s">
        <v>286</v>
      </c>
      <c r="F11" t="s">
        <v>287</v>
      </c>
      <c r="G11" t="s">
        <v>234</v>
      </c>
    </row>
    <row r="13" spans="1:8" x14ac:dyDescent="0.35">
      <c r="C13" t="s">
        <v>441</v>
      </c>
      <c r="D13" t="s">
        <v>438</v>
      </c>
      <c r="E13" t="s">
        <v>447</v>
      </c>
      <c r="F13" t="s">
        <v>449</v>
      </c>
      <c r="G13" t="s">
        <v>37</v>
      </c>
    </row>
    <row r="14" spans="1:8" x14ac:dyDescent="0.35">
      <c r="D14" t="s">
        <v>419</v>
      </c>
      <c r="E14" t="s">
        <v>448</v>
      </c>
      <c r="F14" t="s">
        <v>451</v>
      </c>
      <c r="G14" t="s">
        <v>450</v>
      </c>
    </row>
    <row r="15" spans="1:8" x14ac:dyDescent="0.35">
      <c r="B15" t="s">
        <v>523</v>
      </c>
      <c r="D15" t="s">
        <v>260</v>
      </c>
    </row>
    <row r="16" spans="1:8" x14ac:dyDescent="0.35">
      <c r="B16" t="s">
        <v>522</v>
      </c>
      <c r="D16" t="s">
        <v>319</v>
      </c>
      <c r="E16" t="s">
        <v>320</v>
      </c>
      <c r="F16" t="s">
        <v>321</v>
      </c>
      <c r="G16" t="s">
        <v>322</v>
      </c>
    </row>
    <row r="19" spans="1:6" x14ac:dyDescent="0.35">
      <c r="A19" s="8" t="s">
        <v>266</v>
      </c>
      <c r="B19" s="8"/>
      <c r="C19" s="8"/>
      <c r="D19" t="s">
        <v>267</v>
      </c>
      <c r="E19" t="s">
        <v>268</v>
      </c>
      <c r="F19" t="s">
        <v>269</v>
      </c>
    </row>
    <row r="20" spans="1:6" x14ac:dyDescent="0.35">
      <c r="A20" t="s">
        <v>264</v>
      </c>
      <c r="B20" t="s">
        <v>265</v>
      </c>
      <c r="C20" t="s">
        <v>16</v>
      </c>
      <c r="D20" t="s">
        <v>243</v>
      </c>
      <c r="E20" t="s">
        <v>282</v>
      </c>
      <c r="F20" t="s">
        <v>292</v>
      </c>
    </row>
    <row r="22" spans="1:6" x14ac:dyDescent="0.35">
      <c r="B22" t="s">
        <v>288</v>
      </c>
      <c r="C22" t="s">
        <v>48</v>
      </c>
      <c r="D22" t="s">
        <v>247</v>
      </c>
      <c r="E22" t="s">
        <v>285</v>
      </c>
      <c r="F22" t="s">
        <v>294</v>
      </c>
    </row>
    <row r="23" spans="1:6" x14ac:dyDescent="0.35">
      <c r="C23" t="s">
        <v>416</v>
      </c>
      <c r="D23" t="s">
        <v>247</v>
      </c>
      <c r="E23" t="s">
        <v>250</v>
      </c>
      <c r="F23" t="s">
        <v>417</v>
      </c>
    </row>
    <row r="25" spans="1:6" x14ac:dyDescent="0.35">
      <c r="B25" t="s">
        <v>437</v>
      </c>
      <c r="C25" t="s">
        <v>28</v>
      </c>
      <c r="D25" t="s">
        <v>250</v>
      </c>
      <c r="E25" t="s">
        <v>438</v>
      </c>
      <c r="F25" t="s">
        <v>439</v>
      </c>
    </row>
    <row r="26" spans="1:6" x14ac:dyDescent="0.35">
      <c r="C26" t="s">
        <v>29</v>
      </c>
      <c r="D26" t="s">
        <v>250</v>
      </c>
      <c r="E26" t="s">
        <v>419</v>
      </c>
      <c r="F26" t="s">
        <v>440</v>
      </c>
    </row>
    <row r="28" spans="1:6" x14ac:dyDescent="0.35">
      <c r="B28" t="s">
        <v>296</v>
      </c>
      <c r="C28" t="s">
        <v>297</v>
      </c>
      <c r="D28" t="s">
        <v>282</v>
      </c>
      <c r="E28" t="s">
        <v>285</v>
      </c>
      <c r="F28" t="s">
        <v>298</v>
      </c>
    </row>
    <row r="30" spans="1:6" x14ac:dyDescent="0.35">
      <c r="B30" t="s">
        <v>273</v>
      </c>
      <c r="C30" s="1" t="s">
        <v>274</v>
      </c>
      <c r="D30" s="1" t="s">
        <v>277</v>
      </c>
      <c r="E30" s="1" t="s">
        <v>260</v>
      </c>
      <c r="F30" t="s">
        <v>299</v>
      </c>
    </row>
    <row r="31" spans="1:6" x14ac:dyDescent="0.35">
      <c r="C31" t="s">
        <v>291</v>
      </c>
      <c r="D31" t="s">
        <v>277</v>
      </c>
      <c r="E31" t="s">
        <v>243</v>
      </c>
    </row>
    <row r="32" spans="1:6" x14ac:dyDescent="0.35">
      <c r="C32" t="s">
        <v>385</v>
      </c>
      <c r="D32" t="s">
        <v>277</v>
      </c>
      <c r="E32" t="s">
        <v>247</v>
      </c>
    </row>
    <row r="33" spans="1:8" x14ac:dyDescent="0.35">
      <c r="C33" t="s">
        <v>386</v>
      </c>
      <c r="D33" t="s">
        <v>277</v>
      </c>
      <c r="E33" t="s">
        <v>260</v>
      </c>
      <c r="F33" t="s">
        <v>387</v>
      </c>
    </row>
    <row r="37" spans="1:8" x14ac:dyDescent="0.35">
      <c r="A37" s="8" t="s">
        <v>307</v>
      </c>
      <c r="B37" s="8"/>
      <c r="C37" s="8"/>
      <c r="D37" t="s">
        <v>308</v>
      </c>
      <c r="E37" t="s">
        <v>309</v>
      </c>
      <c r="F37" t="s">
        <v>226</v>
      </c>
      <c r="G37" t="s">
        <v>310</v>
      </c>
      <c r="H37" t="s">
        <v>311</v>
      </c>
    </row>
    <row r="38" spans="1:8" x14ac:dyDescent="0.35">
      <c r="A38" t="s">
        <v>304</v>
      </c>
      <c r="B38" t="s">
        <v>305</v>
      </c>
      <c r="C38" t="s">
        <v>300</v>
      </c>
      <c r="D38" t="s">
        <v>277</v>
      </c>
      <c r="E38" t="s">
        <v>301</v>
      </c>
      <c r="F38" t="s">
        <v>374</v>
      </c>
      <c r="G38" t="s">
        <v>472</v>
      </c>
    </row>
    <row r="39" spans="1:8" x14ac:dyDescent="0.35">
      <c r="C39" t="s">
        <v>345</v>
      </c>
      <c r="D39" t="s">
        <v>277</v>
      </c>
      <c r="E39" t="s">
        <v>301</v>
      </c>
      <c r="F39" t="s">
        <v>375</v>
      </c>
      <c r="G39" t="s">
        <v>473</v>
      </c>
    </row>
    <row r="40" spans="1:8" x14ac:dyDescent="0.35">
      <c r="C40" t="s">
        <v>367</v>
      </c>
      <c r="D40" t="s">
        <v>277</v>
      </c>
      <c r="E40" t="s">
        <v>301</v>
      </c>
      <c r="F40" t="s">
        <v>376</v>
      </c>
      <c r="G40" t="s">
        <v>474</v>
      </c>
    </row>
    <row r="41" spans="1:8" x14ac:dyDescent="0.35">
      <c r="C41" t="s">
        <v>366</v>
      </c>
      <c r="D41" t="s">
        <v>277</v>
      </c>
      <c r="E41" t="s">
        <v>301</v>
      </c>
      <c r="F41" t="s">
        <v>377</v>
      </c>
      <c r="G41" t="s">
        <v>475</v>
      </c>
    </row>
    <row r="42" spans="1:8" x14ac:dyDescent="0.35">
      <c r="C42" t="s">
        <v>470</v>
      </c>
      <c r="D42" t="s">
        <v>277</v>
      </c>
      <c r="E42" t="s">
        <v>301</v>
      </c>
      <c r="F42" t="s">
        <v>471</v>
      </c>
      <c r="G42" t="s">
        <v>476</v>
      </c>
    </row>
    <row r="44" spans="1:8" x14ac:dyDescent="0.35">
      <c r="B44" t="s">
        <v>265</v>
      </c>
      <c r="C44" t="s">
        <v>279</v>
      </c>
      <c r="D44" t="s">
        <v>243</v>
      </c>
      <c r="E44" t="s">
        <v>301</v>
      </c>
      <c r="F44" t="s">
        <v>341</v>
      </c>
      <c r="G44" t="s">
        <v>239</v>
      </c>
      <c r="H44">
        <v>4000</v>
      </c>
    </row>
    <row r="45" spans="1:8" x14ac:dyDescent="0.35">
      <c r="C45" t="s">
        <v>229</v>
      </c>
      <c r="D45" t="s">
        <v>243</v>
      </c>
      <c r="E45" t="s">
        <v>301</v>
      </c>
      <c r="F45" t="s">
        <v>340</v>
      </c>
      <c r="G45" t="s">
        <v>230</v>
      </c>
      <c r="H45">
        <v>12000</v>
      </c>
    </row>
    <row r="46" spans="1:8" x14ac:dyDescent="0.35">
      <c r="C46" t="s">
        <v>312</v>
      </c>
      <c r="D46" t="s">
        <v>243</v>
      </c>
      <c r="E46" t="s">
        <v>301</v>
      </c>
      <c r="F46" t="s">
        <v>313</v>
      </c>
      <c r="G46" t="s">
        <v>237</v>
      </c>
      <c r="H46" t="s">
        <v>15</v>
      </c>
    </row>
    <row r="47" spans="1:8" ht="43.5" x14ac:dyDescent="0.35">
      <c r="C47" t="s">
        <v>314</v>
      </c>
      <c r="D47" t="s">
        <v>243</v>
      </c>
      <c r="E47" t="s">
        <v>301</v>
      </c>
      <c r="F47" s="6" t="s">
        <v>316</v>
      </c>
      <c r="G47" t="s">
        <v>315</v>
      </c>
      <c r="H47" t="s">
        <v>155</v>
      </c>
    </row>
    <row r="48" spans="1:8" x14ac:dyDescent="0.35">
      <c r="C48" t="s">
        <v>334</v>
      </c>
      <c r="D48" t="s">
        <v>243</v>
      </c>
      <c r="E48" t="s">
        <v>335</v>
      </c>
      <c r="F48" t="s">
        <v>336</v>
      </c>
      <c r="G48" t="s">
        <v>337</v>
      </c>
      <c r="H48">
        <v>21</v>
      </c>
    </row>
    <row r="49" spans="2:8" ht="29" x14ac:dyDescent="0.35">
      <c r="C49" t="s">
        <v>338</v>
      </c>
      <c r="D49" t="s">
        <v>243</v>
      </c>
      <c r="E49" t="s">
        <v>335</v>
      </c>
      <c r="F49" s="6" t="s">
        <v>339</v>
      </c>
      <c r="G49" t="s">
        <v>359</v>
      </c>
      <c r="H49">
        <v>23</v>
      </c>
    </row>
    <row r="50" spans="2:8" ht="29" x14ac:dyDescent="0.35">
      <c r="C50" t="s">
        <v>355</v>
      </c>
      <c r="D50" t="s">
        <v>243</v>
      </c>
      <c r="E50" t="s">
        <v>335</v>
      </c>
      <c r="F50" s="6" t="s">
        <v>357</v>
      </c>
      <c r="G50" t="s">
        <v>360</v>
      </c>
      <c r="H50">
        <v>11</v>
      </c>
    </row>
    <row r="51" spans="2:8" ht="29" x14ac:dyDescent="0.35">
      <c r="C51" t="s">
        <v>356</v>
      </c>
      <c r="D51" t="s">
        <v>243</v>
      </c>
      <c r="E51" t="s">
        <v>335</v>
      </c>
      <c r="F51" s="6" t="s">
        <v>358</v>
      </c>
      <c r="G51" t="s">
        <v>361</v>
      </c>
      <c r="H51">
        <v>13</v>
      </c>
    </row>
    <row r="52" spans="2:8" ht="43.5" x14ac:dyDescent="0.35">
      <c r="C52" t="s">
        <v>363</v>
      </c>
      <c r="D52" t="s">
        <v>243</v>
      </c>
      <c r="E52" t="s">
        <v>335</v>
      </c>
      <c r="F52" s="6" t="s">
        <v>365</v>
      </c>
      <c r="G52" t="s">
        <v>364</v>
      </c>
      <c r="H52">
        <v>-16</v>
      </c>
    </row>
    <row r="53" spans="2:8" x14ac:dyDescent="0.35">
      <c r="C53" t="s">
        <v>399</v>
      </c>
      <c r="D53" t="s">
        <v>243</v>
      </c>
      <c r="E53" t="s">
        <v>335</v>
      </c>
      <c r="F53" t="s">
        <v>400</v>
      </c>
      <c r="G53" t="s">
        <v>401</v>
      </c>
      <c r="H53">
        <v>123</v>
      </c>
    </row>
    <row r="54" spans="2:8" x14ac:dyDescent="0.35">
      <c r="C54" t="s">
        <v>412</v>
      </c>
      <c r="D54" t="s">
        <v>243</v>
      </c>
      <c r="E54" t="s">
        <v>434</v>
      </c>
      <c r="F54" s="6" t="s">
        <v>435</v>
      </c>
      <c r="G54" t="s">
        <v>422</v>
      </c>
      <c r="H54" t="s">
        <v>436</v>
      </c>
    </row>
    <row r="55" spans="2:8" x14ac:dyDescent="0.35">
      <c r="C55" t="s">
        <v>231</v>
      </c>
      <c r="D55" t="s">
        <v>243</v>
      </c>
      <c r="E55" t="s">
        <v>442</v>
      </c>
      <c r="F55" t="s">
        <v>238</v>
      </c>
      <c r="G55" t="s">
        <v>232</v>
      </c>
      <c r="H55">
        <v>1</v>
      </c>
    </row>
    <row r="56" spans="2:8" x14ac:dyDescent="0.35">
      <c r="C56" t="s">
        <v>459</v>
      </c>
      <c r="D56" t="s">
        <v>243</v>
      </c>
      <c r="E56" t="s">
        <v>335</v>
      </c>
      <c r="F56" s="6" t="s">
        <v>460</v>
      </c>
      <c r="G56" t="s">
        <v>422</v>
      </c>
      <c r="H56">
        <v>10</v>
      </c>
    </row>
    <row r="57" spans="2:8" x14ac:dyDescent="0.35">
      <c r="C57" t="s">
        <v>461</v>
      </c>
      <c r="D57" t="s">
        <v>243</v>
      </c>
      <c r="E57" t="s">
        <v>335</v>
      </c>
      <c r="F57" s="6" t="s">
        <v>462</v>
      </c>
      <c r="G57" t="s">
        <v>422</v>
      </c>
      <c r="H57">
        <v>33</v>
      </c>
    </row>
    <row r="58" spans="2:8" ht="43.5" x14ac:dyDescent="0.35">
      <c r="C58" t="s">
        <v>499</v>
      </c>
      <c r="D58" t="s">
        <v>243</v>
      </c>
      <c r="E58" t="s">
        <v>335</v>
      </c>
      <c r="F58" s="6" t="s">
        <v>501</v>
      </c>
      <c r="G58" t="s">
        <v>500</v>
      </c>
      <c r="H58">
        <v>3</v>
      </c>
    </row>
    <row r="59" spans="2:8" x14ac:dyDescent="0.35">
      <c r="F59" s="6"/>
    </row>
    <row r="62" spans="2:8" x14ac:dyDescent="0.35">
      <c r="B62" t="s">
        <v>288</v>
      </c>
      <c r="C62" t="s">
        <v>289</v>
      </c>
      <c r="D62" t="s">
        <v>247</v>
      </c>
      <c r="E62" t="s">
        <v>335</v>
      </c>
      <c r="F62" t="s">
        <v>293</v>
      </c>
      <c r="G62" t="s">
        <v>290</v>
      </c>
    </row>
    <row r="63" spans="2:8" ht="29" x14ac:dyDescent="0.35">
      <c r="C63" t="s">
        <v>317</v>
      </c>
      <c r="D63" t="s">
        <v>247</v>
      </c>
      <c r="E63" t="s">
        <v>301</v>
      </c>
      <c r="F63" s="6" t="s">
        <v>468</v>
      </c>
      <c r="G63" t="s">
        <v>318</v>
      </c>
      <c r="H63" t="s">
        <v>156</v>
      </c>
    </row>
    <row r="64" spans="2:8" x14ac:dyDescent="0.35">
      <c r="C64" t="s">
        <v>379</v>
      </c>
      <c r="D64" t="s">
        <v>247</v>
      </c>
      <c r="E64" t="s">
        <v>335</v>
      </c>
      <c r="F64" t="s">
        <v>381</v>
      </c>
      <c r="G64" t="s">
        <v>380</v>
      </c>
      <c r="H64">
        <v>50</v>
      </c>
    </row>
    <row r="65" spans="2:8" x14ac:dyDescent="0.35">
      <c r="C65" t="s">
        <v>402</v>
      </c>
      <c r="D65" t="s">
        <v>247</v>
      </c>
      <c r="E65" t="s">
        <v>335</v>
      </c>
      <c r="F65" t="s">
        <v>403</v>
      </c>
      <c r="G65" t="s">
        <v>404</v>
      </c>
      <c r="H65">
        <v>89</v>
      </c>
    </row>
    <row r="66" spans="2:8" x14ac:dyDescent="0.35">
      <c r="C66" t="s">
        <v>257</v>
      </c>
      <c r="D66" t="s">
        <v>247</v>
      </c>
      <c r="E66" t="s">
        <v>442</v>
      </c>
      <c r="F66" t="s">
        <v>259</v>
      </c>
      <c r="G66" t="s">
        <v>258</v>
      </c>
    </row>
    <row r="67" spans="2:8" x14ac:dyDescent="0.35">
      <c r="C67" t="s">
        <v>281</v>
      </c>
      <c r="D67" t="s">
        <v>247</v>
      </c>
      <c r="E67" t="s">
        <v>442</v>
      </c>
      <c r="F67" t="s">
        <v>443</v>
      </c>
      <c r="G67" t="s">
        <v>445</v>
      </c>
    </row>
    <row r="68" spans="2:8" x14ac:dyDescent="0.35">
      <c r="C68" t="s">
        <v>429</v>
      </c>
      <c r="D68" t="s">
        <v>247</v>
      </c>
      <c r="E68" t="s">
        <v>442</v>
      </c>
      <c r="F68" t="s">
        <v>444</v>
      </c>
      <c r="G68" t="s">
        <v>446</v>
      </c>
    </row>
    <row r="71" spans="2:8" x14ac:dyDescent="0.35">
      <c r="B71" t="s">
        <v>323</v>
      </c>
      <c r="C71" t="s">
        <v>324</v>
      </c>
      <c r="D71" t="s">
        <v>319</v>
      </c>
      <c r="E71" t="s">
        <v>301</v>
      </c>
      <c r="F71" t="s">
        <v>325</v>
      </c>
      <c r="G71" s="7" t="s">
        <v>326</v>
      </c>
    </row>
    <row r="72" spans="2:8" x14ac:dyDescent="0.35">
      <c r="C72" t="s">
        <v>327</v>
      </c>
      <c r="D72" t="s">
        <v>319</v>
      </c>
      <c r="E72" t="s">
        <v>301</v>
      </c>
      <c r="F72" t="s">
        <v>328</v>
      </c>
      <c r="G72" s="7" t="s">
        <v>329</v>
      </c>
    </row>
    <row r="73" spans="2:8" x14ac:dyDescent="0.35">
      <c r="C73" t="s">
        <v>332</v>
      </c>
      <c r="D73" t="s">
        <v>319</v>
      </c>
      <c r="E73" t="s">
        <v>301</v>
      </c>
      <c r="F73" t="s">
        <v>333</v>
      </c>
      <c r="G73" s="7" t="s">
        <v>392</v>
      </c>
    </row>
    <row r="74" spans="2:8" x14ac:dyDescent="0.35">
      <c r="C74" t="s">
        <v>342</v>
      </c>
      <c r="D74" t="s">
        <v>319</v>
      </c>
      <c r="E74" t="s">
        <v>301</v>
      </c>
      <c r="F74" t="s">
        <v>343</v>
      </c>
      <c r="G74" s="7" t="s">
        <v>344</v>
      </c>
    </row>
    <row r="75" spans="2:8" x14ac:dyDescent="0.35">
      <c r="C75" t="s">
        <v>348</v>
      </c>
      <c r="D75" t="s">
        <v>319</v>
      </c>
      <c r="E75" t="s">
        <v>301</v>
      </c>
      <c r="F75" t="s">
        <v>350</v>
      </c>
      <c r="G75" s="7" t="s">
        <v>392</v>
      </c>
    </row>
    <row r="76" spans="2:8" x14ac:dyDescent="0.35">
      <c r="C76" t="s">
        <v>349</v>
      </c>
      <c r="D76" t="s">
        <v>319</v>
      </c>
      <c r="E76" t="s">
        <v>301</v>
      </c>
      <c r="F76" t="s">
        <v>351</v>
      </c>
      <c r="G76" s="7" t="s">
        <v>392</v>
      </c>
    </row>
    <row r="77" spans="2:8" x14ac:dyDescent="0.35">
      <c r="C77" t="s">
        <v>354</v>
      </c>
      <c r="D77" t="s">
        <v>319</v>
      </c>
      <c r="E77" t="s">
        <v>301</v>
      </c>
      <c r="F77" t="s">
        <v>351</v>
      </c>
      <c r="G77" s="7" t="s">
        <v>392</v>
      </c>
    </row>
    <row r="78" spans="2:8" x14ac:dyDescent="0.35">
      <c r="C78" t="s">
        <v>389</v>
      </c>
      <c r="D78" t="s">
        <v>319</v>
      </c>
      <c r="E78" t="s">
        <v>301</v>
      </c>
      <c r="F78" t="s">
        <v>393</v>
      </c>
      <c r="G78" s="7" t="s">
        <v>391</v>
      </c>
    </row>
    <row r="79" spans="2:8" x14ac:dyDescent="0.35">
      <c r="C79" t="s">
        <v>388</v>
      </c>
      <c r="D79" t="s">
        <v>319</v>
      </c>
      <c r="E79" t="s">
        <v>301</v>
      </c>
      <c r="F79" t="s">
        <v>390</v>
      </c>
      <c r="G79" s="7" t="s">
        <v>392</v>
      </c>
    </row>
    <row r="80" spans="2:8" x14ac:dyDescent="0.35">
      <c r="C80" t="s">
        <v>405</v>
      </c>
      <c r="D80" t="s">
        <v>319</v>
      </c>
      <c r="E80" t="s">
        <v>335</v>
      </c>
      <c r="F80" t="s">
        <v>406</v>
      </c>
      <c r="G80">
        <v>270</v>
      </c>
    </row>
    <row r="81" spans="1:7" x14ac:dyDescent="0.35">
      <c r="C81" t="s">
        <v>408</v>
      </c>
      <c r="D81" t="s">
        <v>319</v>
      </c>
      <c r="E81" t="s">
        <v>301</v>
      </c>
      <c r="F81" t="s">
        <v>409</v>
      </c>
      <c r="G81" s="7" t="s">
        <v>392</v>
      </c>
    </row>
    <row r="82" spans="1:7" x14ac:dyDescent="0.35">
      <c r="C82" t="s">
        <v>455</v>
      </c>
      <c r="D82" t="s">
        <v>319</v>
      </c>
      <c r="E82" t="s">
        <v>335</v>
      </c>
      <c r="F82" t="s">
        <v>456</v>
      </c>
      <c r="G82">
        <v>10000</v>
      </c>
    </row>
    <row r="83" spans="1:7" x14ac:dyDescent="0.35">
      <c r="C83" t="s">
        <v>457</v>
      </c>
      <c r="D83" t="s">
        <v>319</v>
      </c>
      <c r="E83" t="s">
        <v>335</v>
      </c>
      <c r="F83" t="s">
        <v>458</v>
      </c>
      <c r="G83">
        <v>10000</v>
      </c>
    </row>
    <row r="85" spans="1:7" x14ac:dyDescent="0.35">
      <c r="A85" t="s">
        <v>330</v>
      </c>
      <c r="B85" t="s">
        <v>331</v>
      </c>
      <c r="C85" t="s">
        <v>261</v>
      </c>
      <c r="D85" t="s">
        <v>303</v>
      </c>
    </row>
    <row r="86" spans="1:7" x14ac:dyDescent="0.35">
      <c r="D86" t="s">
        <v>346</v>
      </c>
    </row>
    <row r="87" spans="1:7" x14ac:dyDescent="0.35">
      <c r="C87" t="s">
        <v>263</v>
      </c>
      <c r="D87" t="s">
        <v>272</v>
      </c>
    </row>
    <row r="88" spans="1:7" x14ac:dyDescent="0.35">
      <c r="D88" t="s">
        <v>280</v>
      </c>
    </row>
    <row r="89" spans="1:7" x14ac:dyDescent="0.35">
      <c r="C89" t="s">
        <v>262</v>
      </c>
      <c r="D89" t="s">
        <v>368</v>
      </c>
    </row>
    <row r="90" spans="1:7" x14ac:dyDescent="0.35">
      <c r="D90" t="s">
        <v>398</v>
      </c>
    </row>
    <row r="91" spans="1:7" x14ac:dyDescent="0.35">
      <c r="C91" t="s">
        <v>394</v>
      </c>
      <c r="D91" t="s">
        <v>395</v>
      </c>
    </row>
    <row r="92" spans="1:7" x14ac:dyDescent="0.35">
      <c r="D92" t="s">
        <v>396</v>
      </c>
    </row>
    <row r="93" spans="1:7" x14ac:dyDescent="0.35">
      <c r="C93" t="s">
        <v>430</v>
      </c>
      <c r="D93" t="s">
        <v>431</v>
      </c>
    </row>
    <row r="94" spans="1:7" x14ac:dyDescent="0.35">
      <c r="D94" t="s">
        <v>432</v>
      </c>
    </row>
    <row r="95" spans="1:7" x14ac:dyDescent="0.35">
      <c r="B95" t="s">
        <v>510</v>
      </c>
      <c r="C95" t="s">
        <v>511</v>
      </c>
      <c r="D95" t="s">
        <v>512</v>
      </c>
    </row>
    <row r="96" spans="1:7" x14ac:dyDescent="0.35">
      <c r="D96" t="s">
        <v>513</v>
      </c>
    </row>
    <row r="97" spans="1:6" x14ac:dyDescent="0.35">
      <c r="D97" t="s">
        <v>514</v>
      </c>
    </row>
    <row r="98" spans="1:6" x14ac:dyDescent="0.35">
      <c r="D98" t="s">
        <v>515</v>
      </c>
    </row>
    <row r="99" spans="1:6" x14ac:dyDescent="0.35">
      <c r="D99" t="s">
        <v>516</v>
      </c>
    </row>
    <row r="100" spans="1:6" x14ac:dyDescent="0.35">
      <c r="C100" t="s">
        <v>478</v>
      </c>
      <c r="D100" t="s">
        <v>20</v>
      </c>
    </row>
    <row r="101" spans="1:6" x14ac:dyDescent="0.35">
      <c r="D101" t="s">
        <v>517</v>
      </c>
    </row>
    <row r="102" spans="1:6" x14ac:dyDescent="0.35">
      <c r="D102" t="s">
        <v>518</v>
      </c>
    </row>
    <row r="103" spans="1:6" x14ac:dyDescent="0.35">
      <c r="D103" t="s">
        <v>519</v>
      </c>
    </row>
    <row r="104" spans="1:6" x14ac:dyDescent="0.35">
      <c r="D104" t="s">
        <v>520</v>
      </c>
    </row>
    <row r="105" spans="1:6" x14ac:dyDescent="0.35">
      <c r="A105" t="s">
        <v>503</v>
      </c>
    </row>
    <row r="106" spans="1:6" x14ac:dyDescent="0.35">
      <c r="A106" t="s">
        <v>467</v>
      </c>
    </row>
    <row r="108" spans="1:6" x14ac:dyDescent="0.35">
      <c r="A108" t="s">
        <v>485</v>
      </c>
      <c r="C108" t="s">
        <v>480</v>
      </c>
      <c r="E108" t="s">
        <v>502</v>
      </c>
    </row>
    <row r="109" spans="1:6" x14ac:dyDescent="0.35">
      <c r="C109" t="s">
        <v>491</v>
      </c>
      <c r="E109" t="s">
        <v>482</v>
      </c>
      <c r="F109" t="s">
        <v>488</v>
      </c>
    </row>
    <row r="110" spans="1:6" x14ac:dyDescent="0.35">
      <c r="B110" t="s">
        <v>504</v>
      </c>
      <c r="C110" s="2" t="s">
        <v>481</v>
      </c>
      <c r="D110" s="2"/>
      <c r="F110" t="s">
        <v>235</v>
      </c>
    </row>
    <row r="111" spans="1:6" x14ac:dyDescent="0.35">
      <c r="C111" s="2" t="s">
        <v>483</v>
      </c>
      <c r="D111" s="2"/>
    </row>
    <row r="112" spans="1:6" x14ac:dyDescent="0.35">
      <c r="C112" s="2" t="s">
        <v>484</v>
      </c>
      <c r="D112" s="2" t="s">
        <v>486</v>
      </c>
    </row>
    <row r="113" spans="3:4" x14ac:dyDescent="0.35">
      <c r="C113" s="2" t="s">
        <v>487</v>
      </c>
      <c r="D113" s="2" t="s">
        <v>489</v>
      </c>
    </row>
  </sheetData>
  <mergeCells count="3">
    <mergeCell ref="A37:C37"/>
    <mergeCell ref="A1:C1"/>
    <mergeCell ref="A19:C1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FA86-7586-4048-A23C-0A3286702273}">
  <dimension ref="A1:G25"/>
  <sheetViews>
    <sheetView topLeftCell="A18" zoomScale="85" zoomScaleNormal="85" workbookViewId="0">
      <selection activeCell="E6" sqref="E6"/>
    </sheetView>
  </sheetViews>
  <sheetFormatPr baseColWidth="10" defaultRowHeight="14.5" x14ac:dyDescent="0.35"/>
  <cols>
    <col min="2" max="2" width="27.26953125" customWidth="1"/>
    <col min="3" max="3" width="21.90625" customWidth="1"/>
    <col min="5" max="5" width="84.7265625" customWidth="1"/>
    <col min="7" max="7" width="117" customWidth="1"/>
  </cols>
  <sheetData>
    <row r="1" spans="1:7" x14ac:dyDescent="0.35">
      <c r="A1" t="s">
        <v>270</v>
      </c>
      <c r="C1" t="s">
        <v>302</v>
      </c>
      <c r="E1" t="s">
        <v>275</v>
      </c>
      <c r="G1" t="s">
        <v>529</v>
      </c>
    </row>
    <row r="2" spans="1:7" ht="72.5" x14ac:dyDescent="0.35">
      <c r="A2" t="s">
        <v>271</v>
      </c>
      <c r="C2" t="s">
        <v>276</v>
      </c>
      <c r="E2" s="6" t="s">
        <v>524</v>
      </c>
    </row>
    <row r="3" spans="1:7" ht="72.5" x14ac:dyDescent="0.35">
      <c r="C3" t="s">
        <v>295</v>
      </c>
      <c r="E3" s="6" t="s">
        <v>525</v>
      </c>
    </row>
    <row r="6" spans="1:7" ht="188.5" x14ac:dyDescent="0.35">
      <c r="A6" t="s">
        <v>369</v>
      </c>
      <c r="C6" t="s">
        <v>236</v>
      </c>
      <c r="E6" s="6" t="s">
        <v>526</v>
      </c>
      <c r="G6" s="6" t="s">
        <v>537</v>
      </c>
    </row>
    <row r="7" spans="1:7" ht="174" x14ac:dyDescent="0.35">
      <c r="C7" t="s">
        <v>528</v>
      </c>
      <c r="E7" s="6" t="s">
        <v>527</v>
      </c>
      <c r="G7" t="s">
        <v>530</v>
      </c>
    </row>
    <row r="8" spans="1:7" ht="159.5" x14ac:dyDescent="0.35">
      <c r="C8" t="s">
        <v>347</v>
      </c>
      <c r="E8" s="6" t="s">
        <v>352</v>
      </c>
      <c r="G8" t="s">
        <v>531</v>
      </c>
    </row>
    <row r="9" spans="1:7" ht="145" x14ac:dyDescent="0.35">
      <c r="C9" t="s">
        <v>353</v>
      </c>
      <c r="E9" s="6" t="s">
        <v>362</v>
      </c>
      <c r="G9" t="s">
        <v>532</v>
      </c>
    </row>
    <row r="10" spans="1:7" ht="188.5" x14ac:dyDescent="0.35">
      <c r="C10" t="s">
        <v>466</v>
      </c>
      <c r="E10" s="6" t="s">
        <v>407</v>
      </c>
      <c r="F10" t="s">
        <v>410</v>
      </c>
      <c r="G10" t="s">
        <v>533</v>
      </c>
    </row>
    <row r="11" spans="1:7" x14ac:dyDescent="0.35">
      <c r="E11" s="6"/>
    </row>
    <row r="12" spans="1:7" x14ac:dyDescent="0.35">
      <c r="G12" t="s">
        <v>534</v>
      </c>
    </row>
    <row r="13" spans="1:7" ht="87" x14ac:dyDescent="0.35">
      <c r="A13" t="s">
        <v>373</v>
      </c>
      <c r="C13" t="s">
        <v>383</v>
      </c>
      <c r="E13" s="6" t="s">
        <v>384</v>
      </c>
      <c r="F13" t="s">
        <v>372</v>
      </c>
      <c r="G13" t="s">
        <v>535</v>
      </c>
    </row>
    <row r="14" spans="1:7" ht="174" x14ac:dyDescent="0.35">
      <c r="C14" t="s">
        <v>378</v>
      </c>
      <c r="E14" s="6" t="s">
        <v>433</v>
      </c>
      <c r="F14" t="s">
        <v>382</v>
      </c>
      <c r="G14" t="s">
        <v>536</v>
      </c>
    </row>
    <row r="17" spans="1:6" x14ac:dyDescent="0.35">
      <c r="A17" t="s">
        <v>397</v>
      </c>
      <c r="F17" t="s">
        <v>371</v>
      </c>
    </row>
    <row r="18" spans="1:6" x14ac:dyDescent="0.35">
      <c r="A18" t="s">
        <v>370</v>
      </c>
    </row>
    <row r="21" spans="1:6" ht="72.5" x14ac:dyDescent="0.35">
      <c r="C21" t="s">
        <v>421</v>
      </c>
      <c r="E21" s="6" t="s">
        <v>452</v>
      </c>
      <c r="F21" t="s">
        <v>415</v>
      </c>
    </row>
    <row r="22" spans="1:6" ht="101.5" x14ac:dyDescent="0.35">
      <c r="C22" t="s">
        <v>418</v>
      </c>
      <c r="E22" s="6" t="s">
        <v>453</v>
      </c>
      <c r="F22" t="s">
        <v>420</v>
      </c>
    </row>
    <row r="23" spans="1:6" ht="333.5" x14ac:dyDescent="0.35">
      <c r="C23" t="s">
        <v>463</v>
      </c>
      <c r="E23" s="6" t="s">
        <v>465</v>
      </c>
      <c r="F23" t="s">
        <v>464</v>
      </c>
    </row>
    <row r="24" spans="1:6" ht="101.5" x14ac:dyDescent="0.35">
      <c r="C24" t="s">
        <v>419</v>
      </c>
      <c r="E24" s="6" t="s">
        <v>454</v>
      </c>
      <c r="F24" t="s">
        <v>420</v>
      </c>
    </row>
    <row r="25" spans="1:6" ht="72.5" x14ac:dyDescent="0.35">
      <c r="C25" t="s">
        <v>424</v>
      </c>
      <c r="E25" s="6" t="s">
        <v>423</v>
      </c>
      <c r="F25" t="s">
        <v>420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28504-7F8B-4DB9-A4C7-91D960134B08}">
  <dimension ref="A1:N145"/>
  <sheetViews>
    <sheetView workbookViewId="0">
      <selection activeCell="E5" sqref="E5"/>
    </sheetView>
  </sheetViews>
  <sheetFormatPr baseColWidth="10" defaultRowHeight="14.5" x14ac:dyDescent="0.35"/>
  <cols>
    <col min="5" max="5" width="30.7265625" customWidth="1"/>
    <col min="8" max="8" width="75.81640625" customWidth="1"/>
    <col min="11" max="11" width="34.81640625" customWidth="1"/>
    <col min="12" max="12" width="36" customWidth="1"/>
  </cols>
  <sheetData>
    <row r="1" spans="1:14" x14ac:dyDescent="0.35">
      <c r="A1" t="s">
        <v>114</v>
      </c>
      <c r="C1" t="s">
        <v>143</v>
      </c>
      <c r="E1" t="s">
        <v>116</v>
      </c>
      <c r="F1">
        <v>2</v>
      </c>
      <c r="G1">
        <v>3</v>
      </c>
      <c r="H1">
        <v>4</v>
      </c>
      <c r="I1">
        <v>5</v>
      </c>
      <c r="J1">
        <v>6</v>
      </c>
      <c r="K1">
        <v>7</v>
      </c>
      <c r="L1">
        <v>8</v>
      </c>
      <c r="M1">
        <v>9</v>
      </c>
      <c r="N1">
        <v>10</v>
      </c>
    </row>
    <row r="2" spans="1:14" x14ac:dyDescent="0.35">
      <c r="A2" s="3">
        <v>0</v>
      </c>
      <c r="C2" t="s">
        <v>216</v>
      </c>
    </row>
    <row r="3" spans="1:14" x14ac:dyDescent="0.35">
      <c r="A3" s="3">
        <v>6.9444444444444441E-3</v>
      </c>
      <c r="C3" t="s">
        <v>217</v>
      </c>
      <c r="D3" t="s">
        <v>218</v>
      </c>
      <c r="E3">
        <f>0</f>
        <v>0</v>
      </c>
    </row>
    <row r="4" spans="1:14" x14ac:dyDescent="0.35">
      <c r="A4" s="3">
        <v>1.3888888888888888E-2</v>
      </c>
      <c r="D4" t="s">
        <v>219</v>
      </c>
      <c r="E4" t="s">
        <v>220</v>
      </c>
    </row>
    <row r="5" spans="1:14" x14ac:dyDescent="0.35">
      <c r="A5" s="3">
        <v>2.0833333333333301E-2</v>
      </c>
      <c r="C5" t="s">
        <v>221</v>
      </c>
      <c r="E5" t="s">
        <v>222</v>
      </c>
    </row>
    <row r="6" spans="1:14" x14ac:dyDescent="0.35">
      <c r="A6" s="3">
        <v>2.7777777777777801E-2</v>
      </c>
    </row>
    <row r="7" spans="1:14" x14ac:dyDescent="0.35">
      <c r="A7" s="3">
        <v>3.4722222222222203E-2</v>
      </c>
    </row>
    <row r="8" spans="1:14" x14ac:dyDescent="0.35">
      <c r="A8" s="3">
        <v>4.1666666666666699E-2</v>
      </c>
    </row>
    <row r="9" spans="1:14" x14ac:dyDescent="0.35">
      <c r="A9" s="3">
        <v>4.8611111111111098E-2</v>
      </c>
    </row>
    <row r="10" spans="1:14" x14ac:dyDescent="0.35">
      <c r="A10" s="3">
        <v>5.5555555555555601E-2</v>
      </c>
    </row>
    <row r="11" spans="1:14" x14ac:dyDescent="0.35">
      <c r="A11" s="3">
        <v>6.2499999999999903E-2</v>
      </c>
      <c r="C11" t="s">
        <v>197</v>
      </c>
      <c r="N11" t="s">
        <v>135</v>
      </c>
    </row>
    <row r="12" spans="1:14" x14ac:dyDescent="0.35">
      <c r="A12" s="3">
        <v>6.9444444444444295E-2</v>
      </c>
      <c r="N12" t="s">
        <v>118</v>
      </c>
    </row>
    <row r="13" spans="1:14" x14ac:dyDescent="0.35">
      <c r="A13" s="3">
        <v>7.6388888888888701E-2</v>
      </c>
      <c r="N13" t="s">
        <v>121</v>
      </c>
    </row>
    <row r="14" spans="1:14" x14ac:dyDescent="0.35">
      <c r="A14" s="3">
        <v>8.3333333333333107E-2</v>
      </c>
      <c r="N14" t="s">
        <v>122</v>
      </c>
    </row>
    <row r="15" spans="1:14" x14ac:dyDescent="0.35">
      <c r="A15" s="3">
        <v>9.0277777777777499E-2</v>
      </c>
      <c r="N15" t="s">
        <v>119</v>
      </c>
    </row>
    <row r="16" spans="1:14" x14ac:dyDescent="0.35">
      <c r="A16" s="3">
        <v>9.7222222222221905E-2</v>
      </c>
      <c r="N16" t="s">
        <v>119</v>
      </c>
    </row>
    <row r="17" spans="1:14" x14ac:dyDescent="0.35">
      <c r="A17" s="3">
        <v>0.10416666666666601</v>
      </c>
      <c r="N17" t="s">
        <v>119</v>
      </c>
    </row>
    <row r="18" spans="1:14" x14ac:dyDescent="0.35">
      <c r="A18" s="3">
        <v>0.11111111111111099</v>
      </c>
      <c r="N18" t="s">
        <v>119</v>
      </c>
    </row>
    <row r="19" spans="1:14" x14ac:dyDescent="0.35">
      <c r="A19" s="3">
        <v>0.118055555555555</v>
      </c>
      <c r="N19" t="s">
        <v>119</v>
      </c>
    </row>
    <row r="20" spans="1:14" x14ac:dyDescent="0.35">
      <c r="A20" s="3">
        <v>0.125</v>
      </c>
      <c r="N20" t="s">
        <v>119</v>
      </c>
    </row>
    <row r="21" spans="1:14" x14ac:dyDescent="0.35">
      <c r="A21" s="3">
        <v>0.131944444444444</v>
      </c>
      <c r="N21" t="s">
        <v>119</v>
      </c>
    </row>
    <row r="22" spans="1:14" x14ac:dyDescent="0.35">
      <c r="A22" s="3">
        <v>0.13888888888888801</v>
      </c>
      <c r="N22" t="s">
        <v>123</v>
      </c>
    </row>
    <row r="23" spans="1:14" x14ac:dyDescent="0.35">
      <c r="A23" s="3">
        <v>0.14583333333333301</v>
      </c>
      <c r="N23" t="s">
        <v>118</v>
      </c>
    </row>
    <row r="24" spans="1:14" x14ac:dyDescent="0.35">
      <c r="A24" s="3">
        <v>0.15277777777777701</v>
      </c>
      <c r="N24" t="s">
        <v>120</v>
      </c>
    </row>
    <row r="25" spans="1:14" x14ac:dyDescent="0.35">
      <c r="A25" s="3">
        <v>0.15972222222222199</v>
      </c>
      <c r="N25" t="s">
        <v>124</v>
      </c>
    </row>
    <row r="26" spans="1:14" x14ac:dyDescent="0.35">
      <c r="A26" s="3">
        <v>0.16666666666666599</v>
      </c>
      <c r="N26" t="s">
        <v>124</v>
      </c>
    </row>
    <row r="27" spans="1:14" x14ac:dyDescent="0.35">
      <c r="A27" s="3">
        <v>0.17361111111111099</v>
      </c>
      <c r="N27" t="s">
        <v>124</v>
      </c>
    </row>
    <row r="28" spans="1:14" x14ac:dyDescent="0.35">
      <c r="A28" s="3">
        <v>0.180555555555555</v>
      </c>
      <c r="N28" t="s">
        <v>124</v>
      </c>
    </row>
    <row r="29" spans="1:14" x14ac:dyDescent="0.35">
      <c r="A29" s="3">
        <v>0.187499999999999</v>
      </c>
      <c r="N29" t="s">
        <v>124</v>
      </c>
    </row>
    <row r="30" spans="1:14" x14ac:dyDescent="0.35">
      <c r="A30" s="3">
        <v>0.194444444444444</v>
      </c>
      <c r="N30" t="s">
        <v>124</v>
      </c>
    </row>
    <row r="31" spans="1:14" x14ac:dyDescent="0.35">
      <c r="A31" s="3">
        <v>0.20138888888888801</v>
      </c>
      <c r="N31" t="s">
        <v>124</v>
      </c>
    </row>
    <row r="32" spans="1:14" x14ac:dyDescent="0.35">
      <c r="A32" s="3">
        <v>0.20833333333333301</v>
      </c>
      <c r="N32" t="s">
        <v>124</v>
      </c>
    </row>
    <row r="33" spans="1:14" x14ac:dyDescent="0.35">
      <c r="A33" s="3">
        <v>0.21527777777777701</v>
      </c>
      <c r="N33" t="s">
        <v>124</v>
      </c>
    </row>
    <row r="34" spans="1:14" x14ac:dyDescent="0.35">
      <c r="A34" s="3">
        <v>0.22222222222222099</v>
      </c>
      <c r="N34" t="s">
        <v>124</v>
      </c>
    </row>
    <row r="35" spans="1:14" x14ac:dyDescent="0.35">
      <c r="A35" s="3">
        <v>0.22916666666666599</v>
      </c>
      <c r="C35" t="s">
        <v>130</v>
      </c>
      <c r="H35" t="s">
        <v>136</v>
      </c>
      <c r="N35" t="s">
        <v>124</v>
      </c>
    </row>
    <row r="36" spans="1:14" x14ac:dyDescent="0.35">
      <c r="A36" s="3">
        <v>0.23611111111110999</v>
      </c>
      <c r="H36" t="s">
        <v>129</v>
      </c>
      <c r="N36" t="s">
        <v>124</v>
      </c>
    </row>
    <row r="37" spans="1:14" x14ac:dyDescent="0.35">
      <c r="A37" s="3">
        <v>0.243055555555555</v>
      </c>
      <c r="H37" t="s">
        <v>129</v>
      </c>
      <c r="N37" t="s">
        <v>140</v>
      </c>
    </row>
    <row r="38" spans="1:14" x14ac:dyDescent="0.35">
      <c r="A38" s="3">
        <v>0.249999999999999</v>
      </c>
      <c r="C38" t="s">
        <v>188</v>
      </c>
      <c r="H38" t="s">
        <v>129</v>
      </c>
      <c r="L38" t="s">
        <v>189</v>
      </c>
    </row>
    <row r="39" spans="1:14" x14ac:dyDescent="0.35">
      <c r="A39" s="3">
        <v>0.25694444444444298</v>
      </c>
      <c r="H39" t="s">
        <v>131</v>
      </c>
      <c r="L39" t="s">
        <v>129</v>
      </c>
    </row>
    <row r="40" spans="1:14" x14ac:dyDescent="0.35">
      <c r="A40" s="3">
        <v>0.26388888888888801</v>
      </c>
      <c r="C40" t="s">
        <v>198</v>
      </c>
      <c r="E40" t="s">
        <v>199</v>
      </c>
      <c r="H40" t="s">
        <v>132</v>
      </c>
      <c r="L40" t="s">
        <v>129</v>
      </c>
    </row>
    <row r="41" spans="1:14" x14ac:dyDescent="0.35">
      <c r="A41" s="3">
        <v>0.27083333333333198</v>
      </c>
      <c r="C41" t="s">
        <v>134</v>
      </c>
      <c r="E41" t="s">
        <v>117</v>
      </c>
      <c r="H41" t="s">
        <v>139</v>
      </c>
      <c r="L41" t="s">
        <v>129</v>
      </c>
    </row>
    <row r="42" spans="1:14" x14ac:dyDescent="0.35">
      <c r="A42" s="3">
        <v>0.27777777777777701</v>
      </c>
      <c r="C42" t="s">
        <v>206</v>
      </c>
      <c r="E42" t="s">
        <v>201</v>
      </c>
      <c r="H42" t="s">
        <v>133</v>
      </c>
      <c r="L42" t="s">
        <v>129</v>
      </c>
    </row>
    <row r="43" spans="1:14" x14ac:dyDescent="0.35">
      <c r="A43" s="3">
        <v>0.28472222222222099</v>
      </c>
      <c r="E43" t="s">
        <v>202</v>
      </c>
      <c r="H43" t="s">
        <v>125</v>
      </c>
      <c r="L43" t="s">
        <v>129</v>
      </c>
    </row>
    <row r="44" spans="1:14" x14ac:dyDescent="0.35">
      <c r="A44" s="3">
        <v>0.29166666666666502</v>
      </c>
      <c r="E44" t="s">
        <v>202</v>
      </c>
      <c r="H44" t="s">
        <v>125</v>
      </c>
      <c r="L44" t="s">
        <v>129</v>
      </c>
    </row>
    <row r="45" spans="1:14" x14ac:dyDescent="0.35">
      <c r="A45" s="3">
        <v>0.29861111111110999</v>
      </c>
      <c r="E45" t="s">
        <v>202</v>
      </c>
      <c r="H45" t="s">
        <v>141</v>
      </c>
      <c r="L45" t="s">
        <v>191</v>
      </c>
    </row>
    <row r="46" spans="1:14" x14ac:dyDescent="0.35">
      <c r="A46" s="3">
        <v>0.30555555555555403</v>
      </c>
      <c r="E46" t="s">
        <v>203</v>
      </c>
      <c r="H46" t="s">
        <v>142</v>
      </c>
      <c r="L46" t="s">
        <v>192</v>
      </c>
    </row>
    <row r="47" spans="1:14" x14ac:dyDescent="0.35">
      <c r="A47" s="3">
        <v>0.312499999999999</v>
      </c>
      <c r="E47" t="s">
        <v>128</v>
      </c>
      <c r="H47" t="s">
        <v>187</v>
      </c>
      <c r="L47" t="s">
        <v>192</v>
      </c>
    </row>
    <row r="48" spans="1:14" x14ac:dyDescent="0.35">
      <c r="A48" s="3">
        <v>0.31944444444444298</v>
      </c>
      <c r="E48" t="s">
        <v>128</v>
      </c>
      <c r="H48" t="s">
        <v>181</v>
      </c>
      <c r="L48" t="s">
        <v>193</v>
      </c>
    </row>
    <row r="49" spans="1:12" x14ac:dyDescent="0.35">
      <c r="A49" s="3">
        <v>0.32638888888888701</v>
      </c>
      <c r="E49" t="s">
        <v>204</v>
      </c>
      <c r="H49" t="s">
        <v>182</v>
      </c>
      <c r="L49" t="s">
        <v>126</v>
      </c>
    </row>
    <row r="50" spans="1:12" x14ac:dyDescent="0.35">
      <c r="A50" s="3">
        <v>0.33333333333333198</v>
      </c>
      <c r="E50" t="s">
        <v>202</v>
      </c>
      <c r="H50" t="s">
        <v>127</v>
      </c>
      <c r="L50" t="s">
        <v>126</v>
      </c>
    </row>
    <row r="51" spans="1:12" x14ac:dyDescent="0.35">
      <c r="A51" s="3">
        <v>0.34027777777777601</v>
      </c>
      <c r="E51" t="s">
        <v>202</v>
      </c>
      <c r="H51" t="s">
        <v>184</v>
      </c>
      <c r="L51" t="s">
        <v>126</v>
      </c>
    </row>
    <row r="52" spans="1:12" x14ac:dyDescent="0.35">
      <c r="A52" s="3">
        <v>0.34722222222222099</v>
      </c>
      <c r="E52" t="s">
        <v>202</v>
      </c>
      <c r="H52" t="s">
        <v>186</v>
      </c>
      <c r="L52" t="s">
        <v>126</v>
      </c>
    </row>
    <row r="53" spans="1:12" x14ac:dyDescent="0.35">
      <c r="A53" s="3">
        <v>0.35416666666666502</v>
      </c>
      <c r="E53" t="s">
        <v>205</v>
      </c>
      <c r="H53" t="s">
        <v>186</v>
      </c>
      <c r="L53" t="s">
        <v>126</v>
      </c>
    </row>
    <row r="54" spans="1:12" x14ac:dyDescent="0.35">
      <c r="A54" s="3">
        <v>0.361111111111109</v>
      </c>
      <c r="H54" t="s">
        <v>186</v>
      </c>
      <c r="L54" t="s">
        <v>126</v>
      </c>
    </row>
    <row r="55" spans="1:12" x14ac:dyDescent="0.35">
      <c r="A55" s="3">
        <v>0.36805555555555403</v>
      </c>
      <c r="H55" t="s">
        <v>185</v>
      </c>
      <c r="L55" t="s">
        <v>126</v>
      </c>
    </row>
    <row r="56" spans="1:12" x14ac:dyDescent="0.35">
      <c r="A56" s="3">
        <v>0.374999999999998</v>
      </c>
      <c r="L56" t="s">
        <v>194</v>
      </c>
    </row>
    <row r="57" spans="1:12" x14ac:dyDescent="0.35">
      <c r="A57" s="3">
        <v>0.38194444444444298</v>
      </c>
      <c r="L57" t="s">
        <v>196</v>
      </c>
    </row>
    <row r="58" spans="1:12" x14ac:dyDescent="0.35">
      <c r="A58" s="3">
        <v>0.38888888888888701</v>
      </c>
      <c r="L58" t="s">
        <v>196</v>
      </c>
    </row>
    <row r="59" spans="1:12" x14ac:dyDescent="0.35">
      <c r="A59" s="3">
        <v>0.39583333333333098</v>
      </c>
      <c r="L59" t="s">
        <v>195</v>
      </c>
    </row>
    <row r="60" spans="1:12" x14ac:dyDescent="0.35">
      <c r="A60" s="3">
        <v>0.40277777777777601</v>
      </c>
    </row>
    <row r="61" spans="1:12" x14ac:dyDescent="0.35">
      <c r="A61" s="3">
        <v>0.40972222222221999</v>
      </c>
    </row>
    <row r="62" spans="1:12" x14ac:dyDescent="0.35">
      <c r="A62" s="3">
        <v>0.41666666666666502</v>
      </c>
    </row>
    <row r="63" spans="1:12" x14ac:dyDescent="0.35">
      <c r="A63" s="3">
        <v>0.423611111111109</v>
      </c>
    </row>
    <row r="64" spans="1:12" x14ac:dyDescent="0.35">
      <c r="A64" s="3">
        <v>0.43055555555555303</v>
      </c>
    </row>
    <row r="65" spans="1:1" x14ac:dyDescent="0.35">
      <c r="A65" s="3">
        <v>0.437499999999998</v>
      </c>
    </row>
    <row r="66" spans="1:1" x14ac:dyDescent="0.35">
      <c r="A66" s="3">
        <v>0.44444444444444198</v>
      </c>
    </row>
    <row r="67" spans="1:1" x14ac:dyDescent="0.35">
      <c r="A67" s="3">
        <v>0.45138888888888701</v>
      </c>
    </row>
    <row r="68" spans="1:1" x14ac:dyDescent="0.35">
      <c r="A68" s="3">
        <v>0.45833333333333098</v>
      </c>
    </row>
    <row r="69" spans="1:1" x14ac:dyDescent="0.35">
      <c r="A69" s="3">
        <v>0.46527777777777501</v>
      </c>
    </row>
    <row r="70" spans="1:1" x14ac:dyDescent="0.35">
      <c r="A70" s="3">
        <v>0.47222222222221999</v>
      </c>
    </row>
    <row r="71" spans="1:1" x14ac:dyDescent="0.35">
      <c r="A71" s="3">
        <v>0.47916666666666402</v>
      </c>
    </row>
    <row r="72" spans="1:1" x14ac:dyDescent="0.35">
      <c r="A72" s="3">
        <v>0.486111111111109</v>
      </c>
    </row>
    <row r="73" spans="1:1" x14ac:dyDescent="0.35">
      <c r="A73" s="3">
        <v>0.49305555555555303</v>
      </c>
    </row>
    <row r="74" spans="1:1" x14ac:dyDescent="0.35">
      <c r="A74" s="3">
        <v>0.499999999999997</v>
      </c>
    </row>
    <row r="75" spans="1:1" x14ac:dyDescent="0.35">
      <c r="A75" s="3">
        <v>0.50694444444444198</v>
      </c>
    </row>
    <row r="76" spans="1:1" x14ac:dyDescent="0.35">
      <c r="A76" s="3">
        <v>0.51388888888888595</v>
      </c>
    </row>
    <row r="77" spans="1:1" x14ac:dyDescent="0.35">
      <c r="A77" s="3">
        <v>0.52083333333333104</v>
      </c>
    </row>
    <row r="78" spans="1:1" x14ac:dyDescent="0.35">
      <c r="A78" s="3">
        <v>0.52777777777777501</v>
      </c>
    </row>
    <row r="79" spans="1:1" x14ac:dyDescent="0.35">
      <c r="A79" s="3">
        <v>0.53472222222221899</v>
      </c>
    </row>
    <row r="80" spans="1:1" x14ac:dyDescent="0.35">
      <c r="A80" s="3">
        <v>0.54166666666666397</v>
      </c>
    </row>
    <row r="81" spans="1:1" x14ac:dyDescent="0.35">
      <c r="A81" s="3">
        <v>0.54861111111110805</v>
      </c>
    </row>
    <row r="82" spans="1:1" x14ac:dyDescent="0.35">
      <c r="A82" s="3">
        <v>0.55555555555555303</v>
      </c>
    </row>
    <row r="83" spans="1:1" x14ac:dyDescent="0.35">
      <c r="A83" s="3">
        <v>0.562499999999997</v>
      </c>
    </row>
    <row r="84" spans="1:1" x14ac:dyDescent="0.35">
      <c r="A84" s="3">
        <v>0.56944444444444098</v>
      </c>
    </row>
    <row r="85" spans="1:1" x14ac:dyDescent="0.35">
      <c r="A85" s="3">
        <v>0.57638888888888595</v>
      </c>
    </row>
    <row r="86" spans="1:1" x14ac:dyDescent="0.35">
      <c r="A86" s="3">
        <v>0.58333333333333004</v>
      </c>
    </row>
    <row r="87" spans="1:1" x14ac:dyDescent="0.35">
      <c r="A87" s="3">
        <v>0.59027777777777402</v>
      </c>
    </row>
    <row r="88" spans="1:1" x14ac:dyDescent="0.35">
      <c r="A88" s="3">
        <v>0.59722222222221899</v>
      </c>
    </row>
    <row r="89" spans="1:1" x14ac:dyDescent="0.35">
      <c r="A89" s="3">
        <v>0.60416666666666297</v>
      </c>
    </row>
    <row r="90" spans="1:1" x14ac:dyDescent="0.35">
      <c r="A90" s="3">
        <v>0.61111111111110805</v>
      </c>
    </row>
    <row r="91" spans="1:1" x14ac:dyDescent="0.35">
      <c r="A91" s="3">
        <v>0.61805555555555203</v>
      </c>
    </row>
    <row r="92" spans="1:1" x14ac:dyDescent="0.35">
      <c r="A92" s="3">
        <v>0.624999999999996</v>
      </c>
    </row>
    <row r="93" spans="1:1" x14ac:dyDescent="0.35">
      <c r="A93" s="3">
        <v>0.63194444444444098</v>
      </c>
    </row>
    <row r="94" spans="1:1" x14ac:dyDescent="0.35">
      <c r="A94" s="3">
        <v>0.63888888888888495</v>
      </c>
    </row>
    <row r="95" spans="1:1" x14ac:dyDescent="0.35">
      <c r="A95" s="3">
        <v>0.64583333333333004</v>
      </c>
    </row>
    <row r="96" spans="1:1" x14ac:dyDescent="0.35">
      <c r="A96" s="3">
        <v>0.65277777777777402</v>
      </c>
    </row>
    <row r="97" spans="1:1" x14ac:dyDescent="0.35">
      <c r="A97" s="3">
        <v>0.65972222222221799</v>
      </c>
    </row>
    <row r="98" spans="1:1" x14ac:dyDescent="0.35">
      <c r="A98" s="3">
        <v>0.66666666666666297</v>
      </c>
    </row>
    <row r="99" spans="1:1" x14ac:dyDescent="0.35">
      <c r="A99" s="3">
        <v>0.67361111111110705</v>
      </c>
    </row>
    <row r="100" spans="1:1" x14ac:dyDescent="0.35">
      <c r="A100" s="3">
        <v>0.68055555555555203</v>
      </c>
    </row>
    <row r="101" spans="1:1" x14ac:dyDescent="0.35">
      <c r="A101" s="3">
        <v>0.687499999999996</v>
      </c>
    </row>
    <row r="102" spans="1:1" x14ac:dyDescent="0.35">
      <c r="A102" s="3">
        <v>0.69444444444443998</v>
      </c>
    </row>
    <row r="103" spans="1:1" x14ac:dyDescent="0.35">
      <c r="A103" s="3">
        <v>0.70138888888888495</v>
      </c>
    </row>
    <row r="104" spans="1:1" x14ac:dyDescent="0.35">
      <c r="A104" s="3">
        <v>0.70833333333332904</v>
      </c>
    </row>
    <row r="105" spans="1:1" x14ac:dyDescent="0.35">
      <c r="A105" s="3">
        <v>0.71527777777777402</v>
      </c>
    </row>
    <row r="106" spans="1:1" x14ac:dyDescent="0.35">
      <c r="A106" s="3">
        <v>0.72222222222221799</v>
      </c>
    </row>
    <row r="107" spans="1:1" x14ac:dyDescent="0.35">
      <c r="A107" s="3">
        <v>0.72916666666666197</v>
      </c>
    </row>
    <row r="108" spans="1:1" x14ac:dyDescent="0.35">
      <c r="A108" s="3">
        <v>0.73611111111110705</v>
      </c>
    </row>
    <row r="109" spans="1:1" x14ac:dyDescent="0.35">
      <c r="A109" s="3">
        <v>0.74305555555555103</v>
      </c>
    </row>
    <row r="110" spans="1:1" x14ac:dyDescent="0.35">
      <c r="A110" s="3">
        <v>0.749999999999996</v>
      </c>
    </row>
    <row r="111" spans="1:1" x14ac:dyDescent="0.35">
      <c r="A111" s="3">
        <v>0.75694444444443998</v>
      </c>
    </row>
    <row r="112" spans="1:1" x14ac:dyDescent="0.35">
      <c r="A112" s="3">
        <v>0.76388888888888395</v>
      </c>
    </row>
    <row r="113" spans="1:1" x14ac:dyDescent="0.35">
      <c r="A113" s="3">
        <v>0.77083333333332904</v>
      </c>
    </row>
    <row r="114" spans="1:1" x14ac:dyDescent="0.35">
      <c r="A114" s="3">
        <v>0.77777777777777302</v>
      </c>
    </row>
    <row r="115" spans="1:1" x14ac:dyDescent="0.35">
      <c r="A115" s="3">
        <v>0.78472222222221799</v>
      </c>
    </row>
    <row r="116" spans="1:1" x14ac:dyDescent="0.35">
      <c r="A116" s="3">
        <v>0.79166666666666197</v>
      </c>
    </row>
    <row r="117" spans="1:1" x14ac:dyDescent="0.35">
      <c r="A117" s="3">
        <v>0.79861111111110705</v>
      </c>
    </row>
    <row r="118" spans="1:1" x14ac:dyDescent="0.35">
      <c r="A118" s="3">
        <v>0.80555555555555103</v>
      </c>
    </row>
    <row r="119" spans="1:1" x14ac:dyDescent="0.35">
      <c r="A119" s="3">
        <v>0.812499999999995</v>
      </c>
    </row>
    <row r="120" spans="1:1" x14ac:dyDescent="0.35">
      <c r="A120" s="3">
        <v>0.81944444444443998</v>
      </c>
    </row>
    <row r="121" spans="1:1" x14ac:dyDescent="0.35">
      <c r="A121" s="3">
        <v>0.82638888888888395</v>
      </c>
    </row>
    <row r="122" spans="1:1" x14ac:dyDescent="0.35">
      <c r="A122" s="3">
        <v>0.83333333333332904</v>
      </c>
    </row>
    <row r="123" spans="1:1" x14ac:dyDescent="0.35">
      <c r="A123" s="3">
        <v>0.84027777777777302</v>
      </c>
    </row>
    <row r="124" spans="1:1" x14ac:dyDescent="0.35">
      <c r="A124" s="3">
        <v>0.84722222222221699</v>
      </c>
    </row>
    <row r="125" spans="1:1" x14ac:dyDescent="0.35">
      <c r="A125" s="3">
        <v>0.85416666666666197</v>
      </c>
    </row>
    <row r="126" spans="1:1" x14ac:dyDescent="0.35">
      <c r="A126" s="3">
        <v>0.86111111111110605</v>
      </c>
    </row>
    <row r="127" spans="1:1" x14ac:dyDescent="0.35">
      <c r="A127" s="3">
        <v>0.86805555555555103</v>
      </c>
    </row>
    <row r="128" spans="1:1" x14ac:dyDescent="0.35">
      <c r="A128" s="3">
        <v>0.874999999999995</v>
      </c>
    </row>
    <row r="129" spans="1:1" x14ac:dyDescent="0.35">
      <c r="A129" s="3">
        <v>0.88194444444443898</v>
      </c>
    </row>
    <row r="130" spans="1:1" x14ac:dyDescent="0.35">
      <c r="A130" s="3">
        <v>0.88888888888888395</v>
      </c>
    </row>
    <row r="131" spans="1:1" x14ac:dyDescent="0.35">
      <c r="A131" s="3">
        <v>0.89583333333332804</v>
      </c>
    </row>
    <row r="132" spans="1:1" x14ac:dyDescent="0.35">
      <c r="A132" s="3">
        <v>0.90277777777777202</v>
      </c>
    </row>
    <row r="133" spans="1:1" x14ac:dyDescent="0.35">
      <c r="A133" s="3">
        <v>0.90972222222221699</v>
      </c>
    </row>
    <row r="134" spans="1:1" x14ac:dyDescent="0.35">
      <c r="A134" s="3">
        <v>0.91666666666666097</v>
      </c>
    </row>
    <row r="135" spans="1:1" x14ac:dyDescent="0.35">
      <c r="A135" s="3">
        <v>0.92361111111110605</v>
      </c>
    </row>
    <row r="136" spans="1:1" x14ac:dyDescent="0.35">
      <c r="A136" s="3">
        <v>0.93055555555555003</v>
      </c>
    </row>
    <row r="137" spans="1:1" x14ac:dyDescent="0.35">
      <c r="A137" s="3">
        <v>0.937499999999994</v>
      </c>
    </row>
    <row r="138" spans="1:1" x14ac:dyDescent="0.35">
      <c r="A138" s="3">
        <v>0.94444444444443898</v>
      </c>
    </row>
    <row r="139" spans="1:1" x14ac:dyDescent="0.35">
      <c r="A139" s="3">
        <v>0.95138888888888296</v>
      </c>
    </row>
    <row r="140" spans="1:1" x14ac:dyDescent="0.35">
      <c r="A140" s="3">
        <v>0.95833333333332804</v>
      </c>
    </row>
    <row r="141" spans="1:1" x14ac:dyDescent="0.35">
      <c r="A141" s="3">
        <v>0.96527777777777202</v>
      </c>
    </row>
    <row r="142" spans="1:1" x14ac:dyDescent="0.35">
      <c r="A142" s="3">
        <v>0.97222222222221599</v>
      </c>
    </row>
    <row r="143" spans="1:1" x14ac:dyDescent="0.35">
      <c r="A143" s="3">
        <v>0.97916666666666097</v>
      </c>
    </row>
    <row r="144" spans="1:1" x14ac:dyDescent="0.35">
      <c r="A144" s="3">
        <v>0.98611111111110505</v>
      </c>
    </row>
    <row r="145" spans="1:1" x14ac:dyDescent="0.35">
      <c r="A145" s="3">
        <v>0.99305555555555003</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factory_info</vt:lpstr>
      <vt:lpstr>vehicle_info</vt:lpstr>
      <vt:lpstr>route_info</vt:lpstr>
      <vt:lpstr>order_info</vt:lpstr>
      <vt:lpstr>glossary of terms</vt:lpstr>
      <vt:lpstr>SWRL rules</vt:lpstr>
      <vt:lpstr>human_inference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Bowei Han</dc:creator>
  <cp:lastModifiedBy>Bowei Han</cp:lastModifiedBy>
  <dcterms:created xsi:type="dcterms:W3CDTF">2015-06-05T18:17:20Z</dcterms:created>
  <dcterms:modified xsi:type="dcterms:W3CDTF">2026-09-28T07:01:35Z</dcterms:modified>
</cp:coreProperties>
</file>